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rcel.lupo\Downloads\OneDrive_1_26-01-2026\"/>
    </mc:Choice>
  </mc:AlternateContent>
  <xr:revisionPtr revIDLastSave="0" documentId="13_ncr:1_{DBED34C5-FBAB-40BB-894E-01084C67722E}" xr6:coauthVersionLast="47" xr6:coauthVersionMax="47" xr10:uidLastSave="{00000000-0000-0000-0000-000000000000}"/>
  <bookViews>
    <workbookView xWindow="-120" yWindow="-120" windowWidth="29040" windowHeight="15720" activeTab="1" xr2:uid="{00000000-000D-0000-FFFF-FFFF00000000}"/>
  </bookViews>
  <sheets>
    <sheet name="README" sheetId="1" r:id="rId1"/>
    <sheet name="Daily Capture" sheetId="2" r:id="rId2"/>
    <sheet name="Sprint Summary" sheetId="3" r:id="rId3"/>
    <sheet name="Scorecard" sheetId="4" r:id="rId4"/>
    <sheet name="Dashboard" sheetId="5" r:id="rId5"/>
    <sheet name="Lists" sheetId="6" r:id="rId6"/>
  </sheets>
  <definedNames>
    <definedName name="Confidence">Lists!$B$5:$D$5</definedName>
    <definedName name="Helpfulness1to5">Lists!$B$7:$F$7</definedName>
    <definedName name="PainPoints">Lists!$B$11:$L$11</definedName>
    <definedName name="Rework">Lists!$B$9:$D$9</definedName>
    <definedName name="UseType">Lists!$B$13:$I$13</definedName>
    <definedName name="YesNo">Lists!$B$3:$C$3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8" i="5" l="1"/>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E45" i="4"/>
  <c r="I45" i="4" s="1"/>
  <c r="M45" i="4" s="1"/>
  <c r="E44" i="4"/>
  <c r="O44" i="4" s="1"/>
  <c r="B37" i="5" s="1"/>
  <c r="E43" i="4"/>
  <c r="I43" i="4" s="1"/>
  <c r="M43" i="4" s="1"/>
  <c r="E42" i="4"/>
  <c r="E41" i="4"/>
  <c r="I41" i="4" s="1"/>
  <c r="M41" i="4" s="1"/>
  <c r="E40" i="4"/>
  <c r="E39" i="4"/>
  <c r="I39" i="4" s="1"/>
  <c r="M39" i="4" s="1"/>
  <c r="E38" i="4"/>
  <c r="O38" i="4" s="1"/>
  <c r="B31" i="5" s="1"/>
  <c r="E37" i="4"/>
  <c r="I37" i="4" s="1"/>
  <c r="M37" i="4" s="1"/>
  <c r="E36" i="4"/>
  <c r="O36" i="4" s="1"/>
  <c r="B29" i="5" s="1"/>
  <c r="E35" i="4"/>
  <c r="I35" i="4" s="1"/>
  <c r="M35" i="4" s="1"/>
  <c r="E34" i="4"/>
  <c r="E33" i="4"/>
  <c r="I33" i="4" s="1"/>
  <c r="M33" i="4" s="1"/>
  <c r="E32" i="4"/>
  <c r="O32" i="4" s="1"/>
  <c r="B25" i="5" s="1"/>
  <c r="E31" i="4"/>
  <c r="I31" i="4" s="1"/>
  <c r="M31" i="4" s="1"/>
  <c r="E30" i="4"/>
  <c r="O30" i="4" s="1"/>
  <c r="B23" i="5" s="1"/>
  <c r="E29" i="4"/>
  <c r="I29" i="4" s="1"/>
  <c r="M29" i="4" s="1"/>
  <c r="E28" i="4"/>
  <c r="G28" i="4" s="1"/>
  <c r="H28" i="4" s="1"/>
  <c r="D21" i="5" s="1"/>
  <c r="E27" i="4"/>
  <c r="I27" i="4" s="1"/>
  <c r="M27" i="4" s="1"/>
  <c r="E26" i="4"/>
  <c r="O26" i="4" s="1"/>
  <c r="B19" i="5" s="1"/>
  <c r="E25" i="4"/>
  <c r="I25" i="4" s="1"/>
  <c r="M25" i="4" s="1"/>
  <c r="E24" i="4"/>
  <c r="E23" i="4"/>
  <c r="I23" i="4" s="1"/>
  <c r="M23" i="4" s="1"/>
  <c r="E22" i="4"/>
  <c r="I22" i="4" s="1"/>
  <c r="M22" i="4" s="1"/>
  <c r="E21" i="4"/>
  <c r="I21" i="4" s="1"/>
  <c r="M21" i="4" s="1"/>
  <c r="E20" i="4"/>
  <c r="O20" i="4" s="1"/>
  <c r="B13" i="5" s="1"/>
  <c r="E19" i="4"/>
  <c r="I19" i="4" s="1"/>
  <c r="M19" i="4" s="1"/>
  <c r="E18" i="4"/>
  <c r="L18" i="4" s="1"/>
  <c r="E17" i="4"/>
  <c r="I17" i="4" s="1"/>
  <c r="M17" i="4" s="1"/>
  <c r="E16" i="4"/>
  <c r="O16" i="4" s="1"/>
  <c r="B13" i="4"/>
  <c r="B28" i="3"/>
  <c r="B27" i="3"/>
  <c r="B26" i="3"/>
  <c r="B25" i="3"/>
  <c r="B24" i="3"/>
  <c r="B23" i="3"/>
  <c r="B22" i="3"/>
  <c r="B21" i="3"/>
  <c r="B20" i="3"/>
  <c r="B19" i="3"/>
  <c r="B18" i="3"/>
  <c r="C9" i="3"/>
  <c r="C21" i="3" l="1"/>
  <c r="O28" i="4"/>
  <c r="B21" i="5" s="1"/>
  <c r="F35" i="4"/>
  <c r="C28" i="5" s="1"/>
  <c r="G38" i="4"/>
  <c r="H38" i="4" s="1"/>
  <c r="D31" i="5" s="1"/>
  <c r="I38" i="4"/>
  <c r="M38" i="4" s="1"/>
  <c r="I28" i="4"/>
  <c r="M28" i="4" s="1"/>
  <c r="F17" i="4"/>
  <c r="C10" i="5" s="1"/>
  <c r="G23" i="4"/>
  <c r="H23" i="4" s="1"/>
  <c r="D16" i="5" s="1"/>
  <c r="J33" i="4"/>
  <c r="N33" i="4" s="1"/>
  <c r="L17" i="4"/>
  <c r="F25" i="4"/>
  <c r="K25" i="4" s="1"/>
  <c r="G35" i="4"/>
  <c r="H35" i="4" s="1"/>
  <c r="D28" i="5" s="1"/>
  <c r="J29" i="4"/>
  <c r="N29" i="4" s="1"/>
  <c r="F19" i="4"/>
  <c r="C12" i="5" s="1"/>
  <c r="G22" i="4"/>
  <c r="H22" i="4" s="1"/>
  <c r="D15" i="5" s="1"/>
  <c r="G19" i="4"/>
  <c r="H19" i="4" s="1"/>
  <c r="D12" i="5" s="1"/>
  <c r="J19" i="4"/>
  <c r="N19" i="4" s="1"/>
  <c r="G27" i="4"/>
  <c r="H27" i="4" s="1"/>
  <c r="D20" i="5" s="1"/>
  <c r="I30" i="4"/>
  <c r="M30" i="4" s="1"/>
  <c r="J45" i="4"/>
  <c r="N45" i="4" s="1"/>
  <c r="O22" i="4"/>
  <c r="B15" i="5" s="1"/>
  <c r="F27" i="4"/>
  <c r="K27" i="4" s="1"/>
  <c r="G30" i="4"/>
  <c r="H30" i="4" s="1"/>
  <c r="D23" i="5" s="1"/>
  <c r="L19" i="4"/>
  <c r="F23" i="4"/>
  <c r="C16" i="5" s="1"/>
  <c r="L45" i="4"/>
  <c r="O19" i="4"/>
  <c r="B12" i="5" s="1"/>
  <c r="L27" i="4"/>
  <c r="F31" i="4"/>
  <c r="C24" i="5" s="1"/>
  <c r="F43" i="4"/>
  <c r="C36" i="5" s="1"/>
  <c r="G43" i="4"/>
  <c r="H43" i="4" s="1"/>
  <c r="D36" i="5" s="1"/>
  <c r="J23" i="4"/>
  <c r="N23" i="4" s="1"/>
  <c r="G31" i="4"/>
  <c r="H31" i="4" s="1"/>
  <c r="D24" i="5" s="1"/>
  <c r="J35" i="4"/>
  <c r="N35" i="4" s="1"/>
  <c r="L16" i="4"/>
  <c r="G20" i="4"/>
  <c r="H20" i="4" s="1"/>
  <c r="D13" i="5" s="1"/>
  <c r="L23" i="4"/>
  <c r="O27" i="4"/>
  <c r="B20" i="5" s="1"/>
  <c r="L35" i="4"/>
  <c r="F39" i="4"/>
  <c r="C32" i="5" s="1"/>
  <c r="J27" i="4"/>
  <c r="N27" i="4" s="1"/>
  <c r="I20" i="4"/>
  <c r="M20" i="4" s="1"/>
  <c r="O23" i="4"/>
  <c r="B16" i="5" s="1"/>
  <c r="J31" i="4"/>
  <c r="N31" i="4" s="1"/>
  <c r="G39" i="4"/>
  <c r="H39" i="4" s="1"/>
  <c r="D32" i="5" s="1"/>
  <c r="J43" i="4"/>
  <c r="N43" i="4" s="1"/>
  <c r="L31" i="4"/>
  <c r="O35" i="4"/>
  <c r="B28" i="5" s="1"/>
  <c r="L43" i="4"/>
  <c r="O31" i="4"/>
  <c r="B24" i="5" s="1"/>
  <c r="J39" i="4"/>
  <c r="N39" i="4" s="1"/>
  <c r="G36" i="4"/>
  <c r="H36" i="4" s="1"/>
  <c r="D29" i="5" s="1"/>
  <c r="L39" i="4"/>
  <c r="O43" i="4"/>
  <c r="B36" i="5" s="1"/>
  <c r="G16" i="4"/>
  <c r="H16" i="4" s="1"/>
  <c r="D9" i="5" s="1"/>
  <c r="F21" i="4"/>
  <c r="K21" i="4" s="1"/>
  <c r="J21" i="4"/>
  <c r="N21" i="4" s="1"/>
  <c r="I36" i="4"/>
  <c r="M36" i="4" s="1"/>
  <c r="O39" i="4"/>
  <c r="B32" i="5" s="1"/>
  <c r="F18" i="4"/>
  <c r="C11" i="5" s="1"/>
  <c r="J25" i="4"/>
  <c r="N25" i="4" s="1"/>
  <c r="G18" i="4"/>
  <c r="H18" i="4" s="1"/>
  <c r="D11" i="5" s="1"/>
  <c r="L21" i="4"/>
  <c r="L25" i="4"/>
  <c r="F29" i="4"/>
  <c r="C22" i="5" s="1"/>
  <c r="F33" i="4"/>
  <c r="K33" i="4" s="1"/>
  <c r="G44" i="4"/>
  <c r="H44" i="4" s="1"/>
  <c r="D37" i="5" s="1"/>
  <c r="I44" i="4"/>
  <c r="M44" i="4" s="1"/>
  <c r="L29" i="4"/>
  <c r="L33" i="4"/>
  <c r="F37" i="4"/>
  <c r="K37" i="4" s="1"/>
  <c r="F41" i="4"/>
  <c r="C34" i="5" s="1"/>
  <c r="J37" i="4"/>
  <c r="N37" i="4" s="1"/>
  <c r="J41" i="4"/>
  <c r="N41" i="4" s="1"/>
  <c r="L37" i="4"/>
  <c r="L41" i="4"/>
  <c r="F45" i="4"/>
  <c r="C38" i="5" s="1"/>
  <c r="B9" i="5"/>
  <c r="C25" i="3"/>
  <c r="B31" i="3"/>
  <c r="L24" i="4"/>
  <c r="J24" i="4"/>
  <c r="N24" i="4" s="1"/>
  <c r="F24" i="4"/>
  <c r="J34" i="4"/>
  <c r="N34" i="4" s="1"/>
  <c r="F34" i="4"/>
  <c r="L34" i="4"/>
  <c r="L40" i="4"/>
  <c r="J40" i="4"/>
  <c r="N40" i="4" s="1"/>
  <c r="F40" i="4"/>
  <c r="J42" i="4"/>
  <c r="N42" i="4" s="1"/>
  <c r="F42" i="4"/>
  <c r="L42" i="4"/>
  <c r="C11" i="3"/>
  <c r="C12" i="3" s="1"/>
  <c r="I16" i="4"/>
  <c r="M16" i="4" s="1"/>
  <c r="I18" i="4"/>
  <c r="M18" i="4" s="1"/>
  <c r="O18" i="4"/>
  <c r="B11" i="5" s="1"/>
  <c r="G24" i="4"/>
  <c r="H24" i="4" s="1"/>
  <c r="D17" i="5" s="1"/>
  <c r="O24" i="4"/>
  <c r="B17" i="5" s="1"/>
  <c r="G26" i="4"/>
  <c r="H26" i="4" s="1"/>
  <c r="D19" i="5" s="1"/>
  <c r="G32" i="4"/>
  <c r="H32" i="4" s="1"/>
  <c r="D25" i="5" s="1"/>
  <c r="G34" i="4"/>
  <c r="H34" i="4" s="1"/>
  <c r="D27" i="5" s="1"/>
  <c r="O34" i="4"/>
  <c r="B27" i="5" s="1"/>
  <c r="G40" i="4"/>
  <c r="H40" i="4" s="1"/>
  <c r="D33" i="5" s="1"/>
  <c r="O40" i="4"/>
  <c r="B33" i="5" s="1"/>
  <c r="G42" i="4"/>
  <c r="H42" i="4" s="1"/>
  <c r="D35" i="5" s="1"/>
  <c r="O42" i="4"/>
  <c r="B35" i="5" s="1"/>
  <c r="C28" i="3"/>
  <c r="C26" i="3"/>
  <c r="C24" i="3"/>
  <c r="C22" i="3"/>
  <c r="C20" i="3"/>
  <c r="C18" i="3"/>
  <c r="C14" i="3"/>
  <c r="C10" i="3"/>
  <c r="C23" i="3"/>
  <c r="J26" i="4"/>
  <c r="N26" i="4" s="1"/>
  <c r="F26" i="4"/>
  <c r="L26" i="4"/>
  <c r="L32" i="4"/>
  <c r="J32" i="4"/>
  <c r="N32" i="4" s="1"/>
  <c r="F32" i="4"/>
  <c r="C13" i="3"/>
  <c r="C19" i="3"/>
  <c r="C27" i="3"/>
  <c r="J16" i="4"/>
  <c r="N16" i="4" s="1"/>
  <c r="F16" i="4"/>
  <c r="O17" i="4"/>
  <c r="B10" i="5" s="1"/>
  <c r="G17" i="4"/>
  <c r="H17" i="4" s="1"/>
  <c r="D10" i="5" s="1"/>
  <c r="J17" i="4"/>
  <c r="N17" i="4" s="1"/>
  <c r="J18" i="4"/>
  <c r="N18" i="4" s="1"/>
  <c r="L20" i="4"/>
  <c r="J20" i="4"/>
  <c r="N20" i="4" s="1"/>
  <c r="F20" i="4"/>
  <c r="J22" i="4"/>
  <c r="N22" i="4" s="1"/>
  <c r="F22" i="4"/>
  <c r="L22" i="4"/>
  <c r="I24" i="4"/>
  <c r="M24" i="4" s="1"/>
  <c r="I26" i="4"/>
  <c r="M26" i="4" s="1"/>
  <c r="L28" i="4"/>
  <c r="J28" i="4"/>
  <c r="N28" i="4" s="1"/>
  <c r="F28" i="4"/>
  <c r="J30" i="4"/>
  <c r="N30" i="4" s="1"/>
  <c r="F30" i="4"/>
  <c r="L30" i="4"/>
  <c r="I32" i="4"/>
  <c r="M32" i="4" s="1"/>
  <c r="I34" i="4"/>
  <c r="M34" i="4" s="1"/>
  <c r="L36" i="4"/>
  <c r="J36" i="4"/>
  <c r="N36" i="4" s="1"/>
  <c r="F36" i="4"/>
  <c r="J38" i="4"/>
  <c r="N38" i="4" s="1"/>
  <c r="F38" i="4"/>
  <c r="L38" i="4"/>
  <c r="I40" i="4"/>
  <c r="M40" i="4" s="1"/>
  <c r="I42" i="4"/>
  <c r="M42" i="4" s="1"/>
  <c r="L44" i="4"/>
  <c r="J44" i="4"/>
  <c r="N44" i="4" s="1"/>
  <c r="F44" i="4"/>
  <c r="G21" i="4"/>
  <c r="H21" i="4" s="1"/>
  <c r="D14" i="5" s="1"/>
  <c r="O21" i="4"/>
  <c r="B14" i="5" s="1"/>
  <c r="G25" i="4"/>
  <c r="H25" i="4" s="1"/>
  <c r="D18" i="5" s="1"/>
  <c r="O25" i="4"/>
  <c r="B18" i="5" s="1"/>
  <c r="G29" i="4"/>
  <c r="H29" i="4" s="1"/>
  <c r="D22" i="5" s="1"/>
  <c r="O29" i="4"/>
  <c r="B22" i="5" s="1"/>
  <c r="G33" i="4"/>
  <c r="H33" i="4" s="1"/>
  <c r="D26" i="5" s="1"/>
  <c r="O33" i="4"/>
  <c r="B26" i="5" s="1"/>
  <c r="G37" i="4"/>
  <c r="H37" i="4" s="1"/>
  <c r="D30" i="5" s="1"/>
  <c r="O37" i="4"/>
  <c r="B30" i="5" s="1"/>
  <c r="G41" i="4"/>
  <c r="H41" i="4" s="1"/>
  <c r="D34" i="5" s="1"/>
  <c r="O41" i="4"/>
  <c r="B34" i="5" s="1"/>
  <c r="G45" i="4"/>
  <c r="H45" i="4" s="1"/>
  <c r="D38" i="5" s="1"/>
  <c r="O45" i="4"/>
  <c r="B38" i="5" s="1"/>
  <c r="K39" i="4" l="1"/>
  <c r="K19" i="4"/>
  <c r="K35" i="4"/>
  <c r="C14" i="5"/>
  <c r="K43" i="4"/>
  <c r="K23" i="4"/>
  <c r="K17" i="4"/>
  <c r="C30" i="5"/>
  <c r="K31" i="4"/>
  <c r="C20" i="5"/>
  <c r="C26" i="5"/>
  <c r="C18" i="5"/>
  <c r="K18" i="4"/>
  <c r="K29" i="4"/>
  <c r="K45" i="4"/>
  <c r="K41" i="4"/>
  <c r="C31" i="5"/>
  <c r="K38" i="4"/>
  <c r="C15" i="5"/>
  <c r="K22" i="4"/>
  <c r="C21" i="5"/>
  <c r="K28" i="4"/>
  <c r="C13" i="5"/>
  <c r="K20" i="4"/>
  <c r="C19" i="5"/>
  <c r="K26" i="4"/>
  <c r="C33" i="5"/>
  <c r="K40" i="4"/>
  <c r="C27" i="5"/>
  <c r="K34" i="4"/>
  <c r="B5" i="5"/>
  <c r="C23" i="5"/>
  <c r="K30" i="4"/>
  <c r="C35" i="5"/>
  <c r="K42" i="4"/>
  <c r="C17" i="5"/>
  <c r="K24" i="4"/>
  <c r="B3" i="5"/>
  <c r="C9" i="5"/>
  <c r="B4" i="5"/>
  <c r="K16" i="4"/>
  <c r="C37" i="5"/>
  <c r="K44" i="4"/>
  <c r="C29" i="5"/>
  <c r="K36" i="4"/>
  <c r="C25" i="5"/>
  <c r="K32" i="4"/>
</calcChain>
</file>

<file path=xl/sharedStrings.xml><?xml version="1.0" encoding="utf-8"?>
<sst xmlns="http://schemas.openxmlformats.org/spreadsheetml/2006/main" count="200" uniqueCount="126">
  <si>
    <t>GitHub Copilot (GHCP) Daily Capture + Scorecard Template</t>
  </si>
  <si>
    <t>Purpose</t>
  </si>
  <si>
    <t>Make Copilot usage a normal part of the daily scrum by capturing quick, consistent signals per person (1–2 minutes each) and rolling them up into sprint/team scorecards.</t>
  </si>
  <si>
    <t>How to use (recommended routine)</t>
  </si>
  <si>
    <t>1) During daily scrum, the Scrum Master asks the GHCP questions after each person’s normal update.
2) Capture answers in the 'Daily Capture' sheet (one row per person per day).
3) Review the 'Sprint Summary' weekly and the 'Scorecard' at sprint end.
4) Use 'Dashboard' for trends and leadership updates.</t>
  </si>
  <si>
    <t>Suggested 60–90 second GHCP question set (keep it lightweight)</t>
  </si>
  <si>
    <t>Q1. Did you use GHCP since the last standup? (Yes/No)
Q2. What did you use it for? (pick top 1–2: feature, bug fix, tests, docs, refactor, DevOps, learning)
Q3. Net time impact: how many minutes saved (+) or wasted (-)? (quick estimate)
Q4. Helpfulness (1–5) and confidence in your time estimate (High/Med/Low)
Q5. Any pain point category? (pick one) + optional note
Q6 (only if needed). Any rework or quality concern from Copilot-generated output? (None/Some/A lot)</t>
  </si>
  <si>
    <t>Scoring overview (Scorecard sheet)</t>
  </si>
  <si>
    <t>Overall score (0–100) is a weighted mix:
• Adoption (30): % of rows where GHCP used = Yes
• Net time impact (30): normalized net minutes saved per person-day (cap at ±60 min)
• Sentiment (20): average helpfulness (1–5)
• Rework (20): penalty based on 'Some'/'A lot' rework selections
Tip: You can tune weights in Scorecard!B9:B12.</t>
  </si>
  <si>
    <t>Date</t>
  </si>
  <si>
    <t>Sprint</t>
  </si>
  <si>
    <t>Team</t>
  </si>
  <si>
    <t>Scrum Master</t>
  </si>
  <si>
    <t>Person</t>
  </si>
  <si>
    <t>Role</t>
  </si>
  <si>
    <t>Used GHCP?</t>
  </si>
  <si>
    <t>Primary Use Type</t>
  </si>
  <si>
    <t>Secondary Use Type</t>
  </si>
  <si>
    <t>Net minutes saved (+) / wasted (-)</t>
  </si>
  <si>
    <t>Confidence (time estimate)</t>
  </si>
  <si>
    <t>Helpfulness (1–5)</t>
  </si>
  <si>
    <t>Rework from GHCP output</t>
  </si>
  <si>
    <t>Top pain point</t>
  </si>
  <si>
    <t>Follow-up needed?</t>
  </si>
  <si>
    <t>Follow-up owner</t>
  </si>
  <si>
    <t>Follow-up due</t>
  </si>
  <si>
    <t>Notes (optional)</t>
  </si>
  <si>
    <t>Sprint Summary (auto from Daily Capture)</t>
  </si>
  <si>
    <t>Select Sprint:</t>
  </si>
  <si>
    <t/>
  </si>
  <si>
    <t>Select Team:</t>
  </si>
  <si>
    <t>Date range start:</t>
  </si>
  <si>
    <t>Date range end:</t>
  </si>
  <si>
    <t>KPIs</t>
  </si>
  <si>
    <t>Person-days captured</t>
  </si>
  <si>
    <t>Total rows (people) captured in date range</t>
  </si>
  <si>
    <t>Adoption rate</t>
  </si>
  <si>
    <t>% rows where Used GHCP? = Yes</t>
  </si>
  <si>
    <t>Net minutes (total)</t>
  </si>
  <si>
    <t>Sum of net minutes saved (+) / wasted (-)</t>
  </si>
  <si>
    <t>Net hours (total)</t>
  </si>
  <si>
    <t>Net minutes / 60</t>
  </si>
  <si>
    <t>Avg helpfulness (1–5)</t>
  </si>
  <si>
    <t>Average of Helpfulness ratings</t>
  </si>
  <si>
    <t>Rework rate</t>
  </si>
  <si>
    <t>% rows with Rework = Some or A lot</t>
  </si>
  <si>
    <t>Pain point counts (for selected sprint/team/date range)</t>
  </si>
  <si>
    <t>Pain point</t>
  </si>
  <si>
    <t>Count</t>
  </si>
  <si>
    <t>% of rows</t>
  </si>
  <si>
    <t>None</t>
  </si>
  <si>
    <t>Wrong/low-quality suggestion</t>
  </si>
  <si>
    <t>Security/compliance concern</t>
  </si>
  <si>
    <t>Test generation not useful</t>
  </si>
  <si>
    <t>Hallucinated APIs / incorrect usage</t>
  </si>
  <si>
    <t>Context missing (repo too large / not enough files)</t>
  </si>
  <si>
    <t>Prompting/asking took too long</t>
  </si>
  <si>
    <t>Refactor/review overhead increased</t>
  </si>
  <si>
    <t>Performance/latency issues</t>
  </si>
  <si>
    <t>Policy blocked (restricted code/data)</t>
  </si>
  <si>
    <t>Other</t>
  </si>
  <si>
    <t>Top pain point (by count)</t>
  </si>
  <si>
    <t>Sprint / Team GHCP Scorecard</t>
  </si>
  <si>
    <t>Scoring controls (edit blue cells)</t>
  </si>
  <si>
    <t>Adoption target (100 score at this %)</t>
  </si>
  <si>
    <t>Net minutes cap for scoring (± minutes)</t>
  </si>
  <si>
    <t>Rework penalty factor (1.0 = linear)</t>
  </si>
  <si>
    <t>Weights (must sum to 1.0)</t>
  </si>
  <si>
    <t>Adoption weight</t>
  </si>
  <si>
    <t>Time impact weight</t>
  </si>
  <si>
    <t>Sentiment weight</t>
  </si>
  <si>
    <t>Rework weight</t>
  </si>
  <si>
    <t>Weight check</t>
  </si>
  <si>
    <t>Start date</t>
  </si>
  <si>
    <t>End date</t>
  </si>
  <si>
    <t>Person-days</t>
  </si>
  <si>
    <t>Adoption %</t>
  </si>
  <si>
    <t>Net minutes</t>
  </si>
  <si>
    <t>Net hours</t>
  </si>
  <si>
    <t>Avg helpfulness</t>
  </si>
  <si>
    <t>Adoption score</t>
  </si>
  <si>
    <t>Time score</t>
  </si>
  <si>
    <t>Sentiment score</t>
  </si>
  <si>
    <t>Rework score</t>
  </si>
  <si>
    <t>Overall (0–100)</t>
  </si>
  <si>
    <t>Deploy freq (optional)</t>
  </si>
  <si>
    <t>Lead time (optional)</t>
  </si>
  <si>
    <t>CFR (optional)</t>
  </si>
  <si>
    <t>MTTR (optional)</t>
  </si>
  <si>
    <t>Dashboard (from Scorecard)</t>
  </si>
  <si>
    <t>Average Overall Score</t>
  </si>
  <si>
    <t>Average Adoption %</t>
  </si>
  <si>
    <t>Total Net Hours</t>
  </si>
  <si>
    <t>Sprint-Team</t>
  </si>
  <si>
    <t>Overall</t>
  </si>
  <si>
    <t>Net Hours</t>
  </si>
  <si>
    <t>Dropdown Lists (do not edit list names; you can edit list values)</t>
  </si>
  <si>
    <t>YesNo</t>
  </si>
  <si>
    <t>Yes</t>
  </si>
  <si>
    <t>No</t>
  </si>
  <si>
    <t>Confidence</t>
  </si>
  <si>
    <t>High</t>
  </si>
  <si>
    <t>Medium</t>
  </si>
  <si>
    <t>Low</t>
  </si>
  <si>
    <t>Helpfulness1to5</t>
  </si>
  <si>
    <t>Rework</t>
  </si>
  <si>
    <t>Some</t>
  </si>
  <si>
    <t>A lot</t>
  </si>
  <si>
    <t>PainPoints</t>
  </si>
  <si>
    <t>UseType</t>
  </si>
  <si>
    <t>Feature</t>
  </si>
  <si>
    <t>Bug fix</t>
  </si>
  <si>
    <t>Unit tests</t>
  </si>
  <si>
    <t>Documentation</t>
  </si>
  <si>
    <t>Refactor</t>
  </si>
  <si>
    <t>DevOps/IaC</t>
  </si>
  <si>
    <t>Learning/Exploration</t>
  </si>
  <si>
    <t>Sprint1</t>
  </si>
  <si>
    <t>Sprint2</t>
  </si>
  <si>
    <t>TeamA</t>
  </si>
  <si>
    <t>John</t>
  </si>
  <si>
    <t>Ash</t>
  </si>
  <si>
    <t>Pete</t>
  </si>
  <si>
    <t>Dev</t>
  </si>
  <si>
    <t>Mark</t>
  </si>
  <si>
    <t>Tester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</si>
</sst>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0.0"/>
  </numFmts>
  <fonts count="9" x14ac:knownFonts="1">
    <font>
      <sz val="11"/>
      <color theme="1"/>
      <name val="Calibri"/>
      <family val="2"/>
      <scheme val="minor"/>
    </font>
    <font>
      <b/>
      <sz val="14"/>
      <name val="Calibri"/>
    </font>
    <font>
      <b/>
      <sz val="11"/>
      <name val="Calibri"/>
    </font>
    <font>
      <b/>
      <sz val="16"/>
      <name val="Calibri"/>
    </font>
    <font>
      <b/>
      <sz val="12"/>
      <name val="Calibri"/>
    </font>
    <font>
      <b/>
      <sz val="11"/>
      <color rgb="FFFFFFFF"/>
      <name val="Calibri"/>
    </font>
    <font>
      <sz val="11"/>
      <color rgb="FF0000FF"/>
      <name val="Calibri"/>
    </font>
    <font>
      <b/>
      <sz val="11"/>
      <color rgb="FFFFFFFF"/>
      <name val="Calibri"/>
      <family val="2"/>
    </font>
    <font>
      <sz val="11"/>
      <color rgb="FF0000FF"/>
      <name val="Calibri"/>
      <family val="2"/>
    </font>
  </fonts>
  <fills count="4">
    <fill>
      <patternFill patternType="none"/>
    </fill>
    <fill>
      <patternFill patternType="gray125"/>
    </fill>
    <fill>
      <patternFill patternType="solid">
        <fgColor rgb="FF1F4E79"/>
      </patternFill>
    </fill>
    <fill>
      <patternFill patternType="solid">
        <fgColor rgb="FFD9E1F2"/>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44">
    <xf numFmtId="0" fontId="0" fillId="0" borderId="0" xfId="0"/>
    <xf numFmtId="0" fontId="3" fillId="0" borderId="0" xfId="0" applyFont="1" applyAlignment="1">
      <alignment horizontal="left" vertical="top" wrapText="1"/>
    </xf>
    <xf numFmtId="0" fontId="4" fillId="0" borderId="0" xfId="0" applyFont="1"/>
    <xf numFmtId="0" fontId="0" fillId="0" borderId="0" xfId="0" applyAlignment="1">
      <alignment horizontal="left" vertical="top" wrapText="1"/>
    </xf>
    <xf numFmtId="0" fontId="5" fillId="2" borderId="0" xfId="0" applyFont="1" applyFill="1" applyAlignment="1">
      <alignment horizontal="center" vertical="center" wrapText="1"/>
    </xf>
    <xf numFmtId="164" fontId="6" fillId="0" borderId="0" xfId="0" applyNumberFormat="1" applyFont="1" applyAlignment="1">
      <alignment horizontal="left" vertical="top" wrapText="1"/>
    </xf>
    <xf numFmtId="0" fontId="6" fillId="0" borderId="0" xfId="0" applyFont="1" applyAlignment="1">
      <alignment horizontal="left" vertical="top" wrapText="1"/>
    </xf>
    <xf numFmtId="0" fontId="6" fillId="0" borderId="0" xfId="0" applyFont="1" applyAlignment="1">
      <alignment horizontal="center" vertical="center" wrapText="1"/>
    </xf>
    <xf numFmtId="1" fontId="6" fillId="0" borderId="0" xfId="0" applyNumberFormat="1" applyFont="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0" fontId="4" fillId="3" borderId="1" xfId="0" applyFont="1" applyFill="1" applyBorder="1"/>
    <xf numFmtId="0" fontId="0" fillId="0" borderId="1" xfId="0" applyBorder="1"/>
    <xf numFmtId="0" fontId="2" fillId="0" borderId="1" xfId="0" applyFont="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center" vertical="center" wrapText="1"/>
    </xf>
    <xf numFmtId="165" fontId="2" fillId="0" borderId="1" xfId="0" applyNumberFormat="1" applyFont="1" applyBorder="1" applyAlignment="1">
      <alignment horizontal="center" vertical="center" wrapText="1"/>
    </xf>
    <xf numFmtId="166" fontId="2" fillId="0" borderId="1" xfId="0" applyNumberFormat="1"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1" xfId="0" applyBorder="1" applyAlignment="1">
      <alignment horizontal="center" vertical="center" wrapText="1"/>
    </xf>
    <xf numFmtId="165" fontId="0" fillId="0" borderId="1" xfId="0" applyNumberFormat="1" applyBorder="1" applyAlignment="1">
      <alignment horizontal="center" vertical="center" wrapText="1"/>
    </xf>
    <xf numFmtId="0" fontId="2" fillId="0" borderId="0" xfId="0" applyFont="1"/>
    <xf numFmtId="165" fontId="6" fillId="0" borderId="0" xfId="0" applyNumberFormat="1" applyFont="1" applyAlignment="1">
      <alignment horizontal="center" vertical="center" wrapText="1"/>
    </xf>
    <xf numFmtId="1" fontId="6" fillId="0" borderId="0" xfId="0" applyNumberFormat="1" applyFont="1" applyAlignment="1">
      <alignment horizontal="center" vertical="center" wrapText="1"/>
    </xf>
    <xf numFmtId="2" fontId="6" fillId="0" borderId="0" xfId="0" applyNumberFormat="1" applyFont="1" applyAlignment="1">
      <alignment horizontal="center" vertical="center" wrapText="1"/>
    </xf>
    <xf numFmtId="2" fontId="2" fillId="0" borderId="0" xfId="0" applyNumberFormat="1" applyFont="1" applyAlignment="1">
      <alignment horizontal="center" vertical="center" wrapText="1"/>
    </xf>
    <xf numFmtId="164" fontId="6" fillId="0" borderId="0" xfId="0" applyNumberFormat="1" applyFont="1" applyAlignment="1">
      <alignment horizontal="center" vertical="center" wrapText="1"/>
    </xf>
    <xf numFmtId="165" fontId="0" fillId="0" borderId="0" xfId="0" applyNumberFormat="1"/>
    <xf numFmtId="166" fontId="0" fillId="0" borderId="0" xfId="0" applyNumberFormat="1"/>
    <xf numFmtId="1" fontId="2" fillId="0" borderId="0" xfId="0" applyNumberFormat="1" applyFont="1" applyAlignment="1">
      <alignment horizontal="center" vertical="center" wrapText="1"/>
    </xf>
    <xf numFmtId="0" fontId="1" fillId="0" borderId="0" xfId="0" applyFont="1"/>
    <xf numFmtId="166" fontId="4" fillId="0" borderId="0" xfId="0" applyNumberFormat="1" applyFont="1" applyAlignment="1">
      <alignment horizontal="center" vertical="center" wrapText="1"/>
    </xf>
    <xf numFmtId="165" fontId="4" fillId="0" borderId="0" xfId="0" applyNumberFormat="1" applyFont="1" applyAlignment="1">
      <alignment horizontal="center" vertical="center" wrapText="1"/>
    </xf>
    <xf numFmtId="1" fontId="0" fillId="0" borderId="0" xfId="0" applyNumberFormat="1" applyAlignment="1">
      <alignment horizontal="center" vertical="center" wrapText="1"/>
    </xf>
    <xf numFmtId="165" fontId="0" fillId="0" borderId="0" xfId="0" applyNumberFormat="1" applyAlignment="1">
      <alignment horizontal="center" vertical="center" wrapText="1"/>
    </xf>
    <xf numFmtId="166" fontId="0" fillId="0" borderId="0" xfId="0" applyNumberFormat="1" applyAlignment="1">
      <alignment horizontal="center" vertical="center" wrapText="1"/>
    </xf>
    <xf numFmtId="0" fontId="4" fillId="3" borderId="0" xfId="0" applyFont="1" applyFill="1"/>
    <xf numFmtId="0" fontId="0" fillId="0" borderId="0" xfId="0"/>
    <xf numFmtId="0" fontId="8" fillId="0" borderId="0" xfId="0" applyFont="1" applyAlignment="1">
      <alignment horizontal="left" vertical="top" wrapText="1"/>
    </xf>
    <xf numFmtId="0" fontId="8" fillId="0" borderId="0" xfId="0" applyFont="1" applyAlignment="1">
      <alignment horizontal="center" vertical="center" wrapText="1"/>
    </xf>
    <xf numFmtId="0" fontId="7" fillId="2" borderId="0" xfId="0" applyFont="1" applyFill="1" applyAlignment="1">
      <alignment horizontal="center" vertical="center" wrapText="1"/>
    </xf>
    <xf numFmtId="164" fontId="8" fillId="0" borderId="0" xfId="0" applyNumberFormat="1" applyFont="1" applyAlignment="1">
      <alignment horizontal="left" vertical="top" wrapText="1"/>
    </xf>
    <xf numFmtId="0" fontId="0" fillId="0" borderId="0" xfId="0" applyNumberFormat="1"/>
    <xf numFmtId="0" fontId="6" fillId="0" borderId="0" xfId="0" applyNumberFormat="1" applyFont="1" applyAlignment="1">
      <alignment horizontal="center" vertical="center" wrapText="1"/>
    </xf>
  </cellXfs>
  <cellStyles count="1">
    <cellStyle name="Normal" xfId="0" builtinId="0"/>
  </cellStyles>
  <dxfs count="2">
    <dxf>
      <fill>
        <patternFill>
          <bgColor rgb="FFFFC7CE"/>
        </patternFill>
      </fill>
    </dxf>
    <dxf>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GB"/>
              <a:t>Overall Score by Sprint-Team</a:t>
            </a:r>
          </a:p>
        </c:rich>
      </c:tx>
      <c:overlay val="0"/>
    </c:title>
    <c:autoTitleDeleted val="0"/>
    <c:plotArea>
      <c:layout/>
      <c:barChart>
        <c:barDir val="col"/>
        <c:grouping val="clustered"/>
        <c:varyColors val="1"/>
        <c:ser>
          <c:idx val="0"/>
          <c:order val="0"/>
          <c:tx>
            <c:strRef>
              <c:f>Dashboard!$B$8</c:f>
              <c:strCache>
                <c:ptCount val="1"/>
                <c:pt idx="0">
                  <c:v>Overall</c:v>
                </c:pt>
              </c:strCache>
            </c:strRef>
          </c:tx>
          <c:spPr>
            <a:ln/>
          </c:spPr>
          <c:invertIfNegative val="1"/>
          <c:cat>
            <c:strRef>
              <c:f>Dashboard!$A$9:$A$38</c:f>
            </c:strRef>
          </c:cat>
          <c:val>
            <c:numRef>
              <c:f>Dashboard!$B$9:$B$38</c:f>
              <c:numCache>
                <c:formatCode>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D38-42B4-B36E-B553A3FD34F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0" sourceLinked="1"/>
        <c:majorTickMark val="none"/>
        <c:minorTickMark val="none"/>
        <c:tickLblPos val="nextTo"/>
        <c:crossAx val="48650112"/>
        <c:crosses val="autoZero"/>
        <c:crossBetween val="between"/>
      </c:valAx>
    </c:plotArea>
    <c:legend>
      <c:legendPos val="r"/>
      <c:overlay val="1"/>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GB"/>
              <a:t>Adoption % by Sprint-Team</a:t>
            </a:r>
          </a:p>
        </c:rich>
      </c:tx>
      <c:overlay val="0"/>
    </c:title>
    <c:autoTitleDeleted val="0"/>
    <c:plotArea>
      <c:layout/>
      <c:lineChart>
        <c:grouping val="standard"/>
        <c:varyColors val="0"/>
        <c:ser>
          <c:idx val="0"/>
          <c:order val="0"/>
          <c:tx>
            <c:strRef>
              <c:f>Dashboard!$C$8</c:f>
              <c:strCache>
                <c:ptCount val="1"/>
                <c:pt idx="0">
                  <c:v>Adoption %</c:v>
                </c:pt>
              </c:strCache>
            </c:strRef>
          </c:tx>
          <c:spPr>
            <a:ln/>
          </c:spPr>
          <c:marker>
            <c:symbol val="none"/>
          </c:marker>
          <c:cat>
            <c:strRef>
              <c:f>Dashboard!$A$9:$A$38</c:f>
            </c:strRef>
          </c:cat>
          <c:val>
            <c:numRef>
              <c:f>Dashboard!$C$9:$C$38</c:f>
              <c:numCache>
                <c:formatCode>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1C4E-4A7A-8BCB-B42169AAA238}"/>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0.0%" sourceLinked="1"/>
        <c:majorTickMark val="none"/>
        <c:minorTickMark val="none"/>
        <c:tickLblPos val="nextTo"/>
        <c:crossAx val="48650112"/>
        <c:crosses val="autoZero"/>
        <c:crossBetween val="between"/>
      </c:valAx>
    </c:plotArea>
    <c:legend>
      <c:legendPos val="r"/>
      <c:overlay val="1"/>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GB"/>
              <a:t>Net Hours by Sprint-Team</a:t>
            </a:r>
          </a:p>
        </c:rich>
      </c:tx>
      <c:overlay val="0"/>
    </c:title>
    <c:autoTitleDeleted val="0"/>
    <c:plotArea>
      <c:layout/>
      <c:barChart>
        <c:barDir val="col"/>
        <c:grouping val="clustered"/>
        <c:varyColors val="1"/>
        <c:ser>
          <c:idx val="0"/>
          <c:order val="0"/>
          <c:tx>
            <c:strRef>
              <c:f>Dashboard!$D$8</c:f>
              <c:strCache>
                <c:ptCount val="1"/>
                <c:pt idx="0">
                  <c:v>Net Hours</c:v>
                </c:pt>
              </c:strCache>
            </c:strRef>
          </c:tx>
          <c:spPr>
            <a:ln/>
          </c:spPr>
          <c:invertIfNegative val="1"/>
          <c:cat>
            <c:strRef>
              <c:f>Dashboard!$A$9:$A$38</c:f>
            </c:strRef>
          </c:cat>
          <c:val>
            <c:numRef>
              <c:f>Dashboard!$D$9:$D$38</c:f>
              <c:numCache>
                <c:formatCode>0.0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CDEC-4537-83F6-D2645415CCE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0.0" sourceLinked="1"/>
        <c:majorTickMark val="none"/>
        <c:minorTickMark val="none"/>
        <c:tickLblPos val="nextTo"/>
        <c:crossAx val="48650112"/>
        <c:crosses val="autoZero"/>
        <c:crossBetween val="between"/>
      </c:valAx>
    </c:plotArea>
    <c:legend>
      <c:legendPos val="r"/>
      <c:overlay val="1"/>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0</xdr:rowOff>
    </xdr:from>
    <xdr:to>
      <xdr:col>5</xdr:col>
      <xdr:colOff>0</xdr:colOff>
      <xdr:row>10</xdr:row>
      <xdr:rowOff>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10</xdr:row>
      <xdr:rowOff>0</xdr:rowOff>
    </xdr:from>
    <xdr:to>
      <xdr:col>5</xdr:col>
      <xdr:colOff>0</xdr:colOff>
      <xdr:row>19</xdr:row>
      <xdr:rowOff>0</xdr:rowOff>
    </xdr:to>
    <xdr:graphicFrame macro="">
      <xdr:nvGraphicFramePr>
        <xdr:cNvPr id="3" nam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10</xdr:row>
      <xdr:rowOff>0</xdr:rowOff>
    </xdr:from>
    <xdr:to>
      <xdr:col>5</xdr:col>
      <xdr:colOff>0</xdr:colOff>
      <xdr:row>37</xdr:row>
      <xdr:rowOff>0</xdr:rowOff>
    </xdr:to>
    <xdr:graphicFrame macro="">
      <xdr:nvGraphicFramePr>
        <xdr:cNvPr id="4" name="Char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ilyCaptureTable" displayName="DailyCaptureTable" ref="A1:R201">
  <autoFilter ref="A1:R201" xr:uid="{00000000-0009-0000-0100-000001000000}"/>
  <tableColumns count="18">
    <tableColumn id="1" xr3:uid="{00000000-0010-0000-0000-000001000000}" name="Date"/>
    <tableColumn id="2" xr3:uid="{00000000-0010-0000-0000-000002000000}" name="Sprint"/>
    <tableColumn id="3" xr3:uid="{00000000-0010-0000-0000-000003000000}" name="Team"/>
    <tableColumn id="4" xr3:uid="{00000000-0010-0000-0000-000004000000}" name="Scrum Master"/>
    <tableColumn id="5" xr3:uid="{00000000-0010-0000-0000-000005000000}" name="Person"/>
    <tableColumn id="6" xr3:uid="{00000000-0010-0000-0000-000006000000}" name="Role"/>
    <tableColumn id="7" xr3:uid="{00000000-0010-0000-0000-000007000000}" name="Used GHCP?"/>
    <tableColumn id="8" xr3:uid="{00000000-0010-0000-0000-000008000000}" name="Primary Use Type"/>
    <tableColumn id="9" xr3:uid="{00000000-0010-0000-0000-000009000000}" name="Secondary Use Type"/>
    <tableColumn id="10" xr3:uid="{00000000-0010-0000-0000-00000A000000}" name="Net minutes saved (+) / wasted (-)"/>
    <tableColumn id="11" xr3:uid="{00000000-0010-0000-0000-00000B000000}" name="Confidence (time estimate)"/>
    <tableColumn id="12" xr3:uid="{00000000-0010-0000-0000-00000C000000}" name="Helpfulness (1–5)"/>
    <tableColumn id="13" xr3:uid="{00000000-0010-0000-0000-00000D000000}" name="Rework from GHCP output"/>
    <tableColumn id="14" xr3:uid="{00000000-0010-0000-0000-00000E000000}" name="Top pain point"/>
    <tableColumn id="15" xr3:uid="{00000000-0010-0000-0000-00000F000000}" name="Follow-up needed?"/>
    <tableColumn id="16" xr3:uid="{00000000-0010-0000-0000-000010000000}" name="Follow-up owner"/>
    <tableColumn id="17" xr3:uid="{00000000-0010-0000-0000-000011000000}" name="Follow-up due"/>
    <tableColumn id="18" xr3:uid="{00000000-0010-0000-0000-000012000000}" name="Notes (optiona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corecardTable" displayName="ScorecardTable" ref="A15:S45">
  <autoFilter ref="A15:S45" xr:uid="{00000000-0009-0000-0100-000002000000}"/>
  <tableColumns count="19">
    <tableColumn id="1" xr3:uid="{00000000-0010-0000-0100-000001000000}" name="Sprint"/>
    <tableColumn id="2" xr3:uid="{00000000-0010-0000-0100-000002000000}" name="Team"/>
    <tableColumn id="3" xr3:uid="{00000000-0010-0000-0100-000003000000}" name="Start date"/>
    <tableColumn id="4" xr3:uid="{00000000-0010-0000-0100-000004000000}" name="End date"/>
    <tableColumn id="5" xr3:uid="{00000000-0010-0000-0100-000005000000}" name="Person-days"/>
    <tableColumn id="6" xr3:uid="{00000000-0010-0000-0100-000006000000}" name="Adoption %"/>
    <tableColumn id="7" xr3:uid="{00000000-0010-0000-0100-000007000000}" name="Net minutes"/>
    <tableColumn id="8" xr3:uid="{00000000-0010-0000-0100-000008000000}" name="Net hours"/>
    <tableColumn id="9" xr3:uid="{00000000-0010-0000-0100-000009000000}" name="Avg helpfulness"/>
    <tableColumn id="10" xr3:uid="{00000000-0010-0000-0100-00000A000000}" name="Rework rate"/>
    <tableColumn id="11" xr3:uid="{00000000-0010-0000-0100-00000B000000}" name="Adoption score"/>
    <tableColumn id="12" xr3:uid="{00000000-0010-0000-0100-00000C000000}" name="Time score"/>
    <tableColumn id="13" xr3:uid="{00000000-0010-0000-0100-00000D000000}" name="Sentiment score"/>
    <tableColumn id="14" xr3:uid="{00000000-0010-0000-0100-00000E000000}" name="Rework score"/>
    <tableColumn id="15" xr3:uid="{00000000-0010-0000-0100-00000F000000}" name="Overall (0–100)"/>
    <tableColumn id="16" xr3:uid="{00000000-0010-0000-0100-000010000000}" name="Deploy freq (optional)"/>
    <tableColumn id="17" xr3:uid="{00000000-0010-0000-0100-000011000000}" name="Lead time (optional)"/>
    <tableColumn id="18" xr3:uid="{00000000-0010-0000-0100-000012000000}" name="CFR (optional)"/>
    <tableColumn id="19" xr3:uid="{00000000-0010-0000-0100-000013000000}" name="MTTR (optional)"/>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showGridLines="0" topLeftCell="A7" workbookViewId="0">
      <selection activeCell="A14" sqref="A14"/>
    </sheetView>
  </sheetViews>
  <sheetFormatPr defaultRowHeight="15" x14ac:dyDescent="0.25"/>
  <cols>
    <col min="1" max="1" width="92" bestFit="1" customWidth="1"/>
    <col min="2" max="5" width="28" customWidth="1"/>
  </cols>
  <sheetData>
    <row r="1" spans="1:1" ht="21" x14ac:dyDescent="0.25">
      <c r="A1" s="1" t="s">
        <v>0</v>
      </c>
    </row>
    <row r="3" spans="1:1" ht="15.75" x14ac:dyDescent="0.25">
      <c r="A3" s="2" t="s">
        <v>1</v>
      </c>
    </row>
    <row r="4" spans="1:1" ht="30" x14ac:dyDescent="0.25">
      <c r="A4" s="3" t="s">
        <v>2</v>
      </c>
    </row>
    <row r="6" spans="1:1" ht="15.75" x14ac:dyDescent="0.25">
      <c r="A6" s="2" t="s">
        <v>3</v>
      </c>
    </row>
    <row r="7" spans="1:1" ht="70.150000000000006" customHeight="1" x14ac:dyDescent="0.25">
      <c r="A7" s="3" t="s">
        <v>4</v>
      </c>
    </row>
    <row r="9" spans="1:1" ht="15.75" x14ac:dyDescent="0.25">
      <c r="A9" s="2" t="s">
        <v>5</v>
      </c>
    </row>
    <row r="10" spans="1:1" ht="120" customHeight="1" x14ac:dyDescent="0.25">
      <c r="A10" s="3" t="s">
        <v>6</v>
      </c>
    </row>
    <row r="12" spans="1:1" ht="15.75" x14ac:dyDescent="0.25">
      <c r="A12" s="2" t="s">
        <v>7</v>
      </c>
    </row>
    <row r="13" spans="1:1" ht="120" customHeight="1" x14ac:dyDescent="0.25">
      <c r="A13" s="3"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01"/>
  <sheetViews>
    <sheetView showGridLines="0" tabSelected="1" workbookViewId="0">
      <selection activeCell="L8" sqref="L8"/>
    </sheetView>
  </sheetViews>
  <sheetFormatPr defaultRowHeight="15" x14ac:dyDescent="0.25"/>
  <cols>
    <col min="1" max="1" width="10.42578125" bestFit="1" customWidth="1"/>
    <col min="2" max="2" width="10.85546875" bestFit="1" customWidth="1"/>
    <col min="3" max="3" width="10.42578125" bestFit="1" customWidth="1"/>
    <col min="4" max="4" width="17.85546875" bestFit="1" customWidth="1"/>
    <col min="5" max="5" width="11.7109375" bestFit="1" customWidth="1"/>
    <col min="6" max="6" width="9.5703125" bestFit="1" customWidth="1"/>
    <col min="7" max="7" width="16.5703125" bestFit="1" customWidth="1"/>
    <col min="8" max="8" width="21.140625" bestFit="1" customWidth="1"/>
    <col min="9" max="9" width="23.5703125" bestFit="1" customWidth="1"/>
    <col min="10" max="10" width="36.42578125" bestFit="1" customWidth="1"/>
    <col min="11" max="11" width="30.5703125" bestFit="1" customWidth="1"/>
    <col min="12" max="12" width="21.140625" bestFit="1" customWidth="1"/>
    <col min="13" max="13" width="29.28515625" bestFit="1" customWidth="1"/>
    <col min="14" max="14" width="18.42578125" bestFit="1" customWidth="1"/>
    <col min="15" max="15" width="23.140625" bestFit="1" customWidth="1"/>
    <col min="16" max="16" width="20.85546875" bestFit="1" customWidth="1"/>
    <col min="17" max="17" width="18.5703125" bestFit="1" customWidth="1"/>
    <col min="18" max="18" width="20.28515625" bestFit="1" customWidth="1"/>
  </cols>
  <sheetData>
    <row r="1" spans="1:18" ht="28.15" customHeight="1" x14ac:dyDescent="0.25">
      <c r="A1" s="4" t="s">
        <v>9</v>
      </c>
      <c r="B1" s="4" t="s">
        <v>10</v>
      </c>
      <c r="C1" s="4" t="s">
        <v>11</v>
      </c>
      <c r="D1" s="4" t="s">
        <v>12</v>
      </c>
      <c r="E1" s="4" t="s">
        <v>13</v>
      </c>
      <c r="F1" s="4" t="s">
        <v>14</v>
      </c>
      <c r="G1" s="4" t="s">
        <v>15</v>
      </c>
      <c r="H1" s="40" t="s">
        <v>16</v>
      </c>
      <c r="I1" s="4" t="s">
        <v>17</v>
      </c>
      <c r="J1" s="4" t="s">
        <v>18</v>
      </c>
      <c r="K1" s="4" t="s">
        <v>19</v>
      </c>
      <c r="L1" s="4" t="s">
        <v>20</v>
      </c>
      <c r="M1" s="4" t="s">
        <v>21</v>
      </c>
      <c r="N1" s="4" t="s">
        <v>22</v>
      </c>
      <c r="O1" s="4" t="s">
        <v>23</v>
      </c>
      <c r="P1" s="4" t="s">
        <v>24</v>
      </c>
      <c r="Q1" s="4" t="s">
        <v>25</v>
      </c>
      <c r="R1" s="4" t="s">
        <v>26</v>
      </c>
    </row>
    <row r="2" spans="1:18" ht="36" customHeight="1" x14ac:dyDescent="0.25">
      <c r="A2" s="5">
        <v>46029</v>
      </c>
      <c r="B2" s="38" t="s">
        <v>117</v>
      </c>
      <c r="C2" s="38" t="s">
        <v>119</v>
      </c>
      <c r="D2" s="38" t="s">
        <v>120</v>
      </c>
      <c r="E2" s="38" t="s">
        <v>121</v>
      </c>
      <c r="F2" s="38" t="s">
        <v>123</v>
      </c>
      <c r="G2" s="39" t="s">
        <v>98</v>
      </c>
      <c r="H2" s="38" t="s">
        <v>111</v>
      </c>
      <c r="I2" s="38" t="s">
        <v>60</v>
      </c>
      <c r="J2" s="8">
        <v>120</v>
      </c>
      <c r="K2" s="7" t="s">
        <v>102</v>
      </c>
      <c r="L2" s="43">
        <v>2</v>
      </c>
      <c r="M2" s="39" t="s">
        <v>106</v>
      </c>
      <c r="N2" s="7" t="s">
        <v>53</v>
      </c>
      <c r="O2" s="39" t="s">
        <v>98</v>
      </c>
      <c r="P2" s="38" t="s">
        <v>120</v>
      </c>
      <c r="Q2" s="41">
        <v>46030</v>
      </c>
      <c r="R2" s="6"/>
    </row>
    <row r="3" spans="1:18" ht="36" customHeight="1" x14ac:dyDescent="0.25">
      <c r="A3" s="5">
        <v>46029</v>
      </c>
      <c r="B3" s="38" t="s">
        <v>117</v>
      </c>
      <c r="C3" s="38" t="s">
        <v>119</v>
      </c>
      <c r="D3" s="38" t="s">
        <v>120</v>
      </c>
      <c r="E3" s="38" t="s">
        <v>122</v>
      </c>
      <c r="F3" s="38" t="s">
        <v>123</v>
      </c>
      <c r="G3" s="39" t="s">
        <v>98</v>
      </c>
      <c r="H3" s="38" t="s">
        <v>110</v>
      </c>
      <c r="I3" s="38" t="s">
        <v>110</v>
      </c>
      <c r="J3" s="8">
        <v>-30</v>
      </c>
      <c r="K3" s="7" t="s">
        <v>103</v>
      </c>
      <c r="L3" s="43">
        <v>1</v>
      </c>
      <c r="M3" s="39" t="s">
        <v>107</v>
      </c>
      <c r="N3" s="7" t="s">
        <v>54</v>
      </c>
      <c r="O3" s="39" t="s">
        <v>98</v>
      </c>
      <c r="P3" s="38" t="s">
        <v>120</v>
      </c>
      <c r="Q3" s="41">
        <v>46030</v>
      </c>
      <c r="R3" s="6"/>
    </row>
    <row r="4" spans="1:18" ht="36" customHeight="1" x14ac:dyDescent="0.25">
      <c r="A4" s="5">
        <v>46036</v>
      </c>
      <c r="B4" s="38" t="s">
        <v>118</v>
      </c>
      <c r="C4" s="38" t="s">
        <v>119</v>
      </c>
      <c r="D4" s="38" t="s">
        <v>120</v>
      </c>
      <c r="E4" s="38" t="s">
        <v>121</v>
      </c>
      <c r="F4" s="38" t="s">
        <v>123</v>
      </c>
      <c r="G4" s="39" t="s">
        <v>98</v>
      </c>
      <c r="H4" s="38" t="s">
        <v>113</v>
      </c>
      <c r="I4" s="38" t="s">
        <v>114</v>
      </c>
      <c r="J4" s="8">
        <v>40</v>
      </c>
      <c r="K4" s="7" t="s">
        <v>101</v>
      </c>
      <c r="L4" s="43">
        <v>4</v>
      </c>
      <c r="M4" s="39" t="s">
        <v>50</v>
      </c>
      <c r="N4" s="7" t="s">
        <v>50</v>
      </c>
      <c r="O4" s="39" t="s">
        <v>99</v>
      </c>
      <c r="P4" s="38" t="s">
        <v>120</v>
      </c>
      <c r="Q4" s="41">
        <v>46037</v>
      </c>
      <c r="R4" s="6"/>
    </row>
    <row r="5" spans="1:18" ht="36" customHeight="1" x14ac:dyDescent="0.25">
      <c r="A5" s="5">
        <v>46036</v>
      </c>
      <c r="B5" s="38" t="s">
        <v>118</v>
      </c>
      <c r="C5" s="38" t="s">
        <v>119</v>
      </c>
      <c r="D5" s="38" t="s">
        <v>120</v>
      </c>
      <c r="E5" s="38" t="s">
        <v>122</v>
      </c>
      <c r="F5" s="38" t="s">
        <v>123</v>
      </c>
      <c r="G5" s="39" t="s">
        <v>98</v>
      </c>
      <c r="H5" s="38" t="s">
        <v>114</v>
      </c>
      <c r="I5" s="38" t="s">
        <v>115</v>
      </c>
      <c r="J5" s="8">
        <v>60</v>
      </c>
      <c r="K5" s="7" t="s">
        <v>101</v>
      </c>
      <c r="L5" s="43">
        <v>4</v>
      </c>
      <c r="M5" s="39" t="s">
        <v>50</v>
      </c>
      <c r="N5" s="7" t="s">
        <v>50</v>
      </c>
      <c r="O5" s="39" t="s">
        <v>99</v>
      </c>
      <c r="P5" s="38" t="s">
        <v>120</v>
      </c>
      <c r="Q5" s="41">
        <v>46037</v>
      </c>
      <c r="R5" s="6"/>
    </row>
    <row r="6" spans="1:18" ht="36" customHeight="1" x14ac:dyDescent="0.25">
      <c r="A6" s="5">
        <v>46036</v>
      </c>
      <c r="B6" s="38" t="s">
        <v>118</v>
      </c>
      <c r="C6" s="38" t="s">
        <v>119</v>
      </c>
      <c r="D6" s="38" t="s">
        <v>120</v>
      </c>
      <c r="E6" s="38" t="s">
        <v>124</v>
      </c>
      <c r="F6" s="38" t="s">
        <v>125</v>
      </c>
      <c r="G6" s="39" t="s">
        <v>98</v>
      </c>
      <c r="H6" s="38" t="s">
        <v>114</v>
      </c>
      <c r="I6" s="38" t="s">
        <v>114</v>
      </c>
      <c r="J6" s="8">
        <v>60</v>
      </c>
      <c r="K6" s="7" t="s">
        <v>102</v>
      </c>
      <c r="L6" s="43">
        <v>3</v>
      </c>
      <c r="M6" s="39" t="s">
        <v>106</v>
      </c>
      <c r="N6" s="7" t="s">
        <v>51</v>
      </c>
      <c r="O6" s="39" t="s">
        <v>99</v>
      </c>
      <c r="P6" s="38" t="s">
        <v>120</v>
      </c>
      <c r="Q6" s="41">
        <v>46037</v>
      </c>
      <c r="R6" s="6"/>
    </row>
    <row r="7" spans="1:18" ht="36" customHeight="1" x14ac:dyDescent="0.25">
      <c r="A7" s="5"/>
      <c r="B7" s="6"/>
      <c r="C7" s="6"/>
      <c r="D7" s="6"/>
      <c r="E7" s="6"/>
      <c r="F7" s="6"/>
      <c r="G7" s="7"/>
      <c r="H7" s="6"/>
      <c r="I7" s="6"/>
      <c r="J7" s="8"/>
      <c r="K7" s="7"/>
      <c r="L7" s="7"/>
      <c r="M7" s="7"/>
      <c r="N7" s="7"/>
      <c r="O7" s="7"/>
      <c r="P7" s="6"/>
      <c r="Q7" s="5"/>
      <c r="R7" s="6"/>
    </row>
    <row r="8" spans="1:18" ht="36" customHeight="1" x14ac:dyDescent="0.25">
      <c r="A8" s="5"/>
      <c r="B8" s="6"/>
      <c r="C8" s="6"/>
      <c r="D8" s="6"/>
      <c r="E8" s="6"/>
      <c r="F8" s="6"/>
      <c r="G8" s="7"/>
      <c r="H8" s="6"/>
      <c r="I8" s="6"/>
      <c r="J8" s="8"/>
      <c r="K8" s="7"/>
      <c r="L8" s="7"/>
      <c r="M8" s="7"/>
      <c r="N8" s="7"/>
      <c r="O8" s="7"/>
      <c r="P8" s="6"/>
      <c r="Q8" s="5"/>
      <c r="R8" s="6"/>
    </row>
    <row r="9" spans="1:18" ht="36" customHeight="1" x14ac:dyDescent="0.25">
      <c r="A9" s="5"/>
      <c r="B9" s="6"/>
      <c r="C9" s="6"/>
      <c r="D9" s="6"/>
      <c r="E9" s="6"/>
      <c r="F9" s="6"/>
      <c r="G9" s="7"/>
      <c r="H9" s="6"/>
      <c r="I9" s="6"/>
      <c r="J9" s="8"/>
      <c r="K9" s="7"/>
      <c r="L9" s="7"/>
      <c r="M9" s="7"/>
      <c r="N9" s="7"/>
      <c r="O9" s="7"/>
      <c r="P9" s="6"/>
      <c r="Q9" s="5"/>
      <c r="R9" s="6"/>
    </row>
    <row r="10" spans="1:18" ht="36" customHeight="1" x14ac:dyDescent="0.25">
      <c r="A10" s="5"/>
      <c r="B10" s="6"/>
      <c r="C10" s="6"/>
      <c r="D10" s="6"/>
      <c r="E10" s="6"/>
      <c r="F10" s="6"/>
      <c r="G10" s="7"/>
      <c r="H10" s="6"/>
      <c r="I10" s="6"/>
      <c r="J10" s="8"/>
      <c r="K10" s="7"/>
      <c r="L10" s="7"/>
      <c r="M10" s="7"/>
      <c r="N10" s="7"/>
      <c r="O10" s="7"/>
      <c r="P10" s="6"/>
      <c r="Q10" s="5"/>
      <c r="R10" s="6"/>
    </row>
    <row r="11" spans="1:18" ht="36" customHeight="1" x14ac:dyDescent="0.25">
      <c r="A11" s="5"/>
      <c r="B11" s="6"/>
      <c r="C11" s="6"/>
      <c r="D11" s="6"/>
      <c r="E11" s="6"/>
      <c r="F11" s="6"/>
      <c r="G11" s="7"/>
      <c r="H11" s="6"/>
      <c r="I11" s="6"/>
      <c r="J11" s="8"/>
      <c r="K11" s="7"/>
      <c r="L11" s="7"/>
      <c r="M11" s="7"/>
      <c r="N11" s="7"/>
      <c r="O11" s="7"/>
      <c r="P11" s="6"/>
      <c r="Q11" s="5"/>
      <c r="R11" s="6"/>
    </row>
    <row r="12" spans="1:18" ht="36" customHeight="1" x14ac:dyDescent="0.25">
      <c r="A12" s="5"/>
      <c r="B12" s="6"/>
      <c r="C12" s="6"/>
      <c r="D12" s="6"/>
      <c r="E12" s="6"/>
      <c r="F12" s="6"/>
      <c r="G12" s="7"/>
      <c r="H12" s="6"/>
      <c r="I12" s="6"/>
      <c r="J12" s="8"/>
      <c r="K12" s="7"/>
      <c r="L12" s="7"/>
      <c r="M12" s="7"/>
      <c r="N12" s="7"/>
      <c r="O12" s="7"/>
      <c r="P12" s="6"/>
      <c r="Q12" s="5"/>
      <c r="R12" s="6"/>
    </row>
    <row r="13" spans="1:18" ht="36" customHeight="1" x14ac:dyDescent="0.25">
      <c r="A13" s="5"/>
      <c r="B13" s="6"/>
      <c r="C13" s="6"/>
      <c r="D13" s="6"/>
      <c r="E13" s="6"/>
      <c r="F13" s="6"/>
      <c r="G13" s="7"/>
      <c r="H13" s="6"/>
      <c r="I13" s="6"/>
      <c r="J13" s="8"/>
      <c r="K13" s="7"/>
      <c r="L13" s="7"/>
      <c r="M13" s="7"/>
      <c r="N13" s="7"/>
      <c r="O13" s="7"/>
      <c r="P13" s="6"/>
      <c r="Q13" s="5"/>
      <c r="R13" s="6"/>
    </row>
    <row r="14" spans="1:18" ht="36" customHeight="1" x14ac:dyDescent="0.25">
      <c r="A14" s="5"/>
      <c r="B14" s="6"/>
      <c r="C14" s="6"/>
      <c r="D14" s="6"/>
      <c r="E14" s="6"/>
      <c r="F14" s="6"/>
      <c r="G14" s="7"/>
      <c r="H14" s="6"/>
      <c r="I14" s="6"/>
      <c r="J14" s="8"/>
      <c r="K14" s="7"/>
      <c r="L14" s="7"/>
      <c r="M14" s="7"/>
      <c r="N14" s="7"/>
      <c r="O14" s="7"/>
      <c r="P14" s="6"/>
      <c r="Q14" s="5"/>
      <c r="R14" s="6"/>
    </row>
    <row r="15" spans="1:18" ht="36" customHeight="1" x14ac:dyDescent="0.25">
      <c r="A15" s="5"/>
      <c r="B15" s="6"/>
      <c r="C15" s="6"/>
      <c r="D15" s="6"/>
      <c r="E15" s="6"/>
      <c r="F15" s="6"/>
      <c r="G15" s="7"/>
      <c r="H15" s="6"/>
      <c r="I15" s="6"/>
      <c r="J15" s="8"/>
      <c r="K15" s="7"/>
      <c r="L15" s="7"/>
      <c r="M15" s="7"/>
      <c r="N15" s="7"/>
      <c r="O15" s="7"/>
      <c r="P15" s="6"/>
      <c r="Q15" s="5"/>
      <c r="R15" s="6"/>
    </row>
    <row r="16" spans="1:18" ht="36" customHeight="1" x14ac:dyDescent="0.25">
      <c r="A16" s="5"/>
      <c r="B16" s="6"/>
      <c r="C16" s="6"/>
      <c r="D16" s="6"/>
      <c r="E16" s="6"/>
      <c r="F16" s="6"/>
      <c r="G16" s="7"/>
      <c r="H16" s="6"/>
      <c r="I16" s="6"/>
      <c r="J16" s="8"/>
      <c r="K16" s="7"/>
      <c r="L16" s="7"/>
      <c r="M16" s="7"/>
      <c r="N16" s="7"/>
      <c r="O16" s="7"/>
      <c r="P16" s="6"/>
      <c r="Q16" s="5"/>
      <c r="R16" s="6"/>
    </row>
    <row r="17" spans="1:18" ht="36" customHeight="1" x14ac:dyDescent="0.25">
      <c r="A17" s="5"/>
      <c r="B17" s="6"/>
      <c r="C17" s="6"/>
      <c r="D17" s="6"/>
      <c r="E17" s="6"/>
      <c r="F17" s="6"/>
      <c r="G17" s="7"/>
      <c r="H17" s="6"/>
      <c r="I17" s="6"/>
      <c r="J17" s="8"/>
      <c r="K17" s="7"/>
      <c r="L17" s="7"/>
      <c r="M17" s="7"/>
      <c r="N17" s="7"/>
      <c r="O17" s="7"/>
      <c r="P17" s="6"/>
      <c r="Q17" s="5"/>
      <c r="R17" s="6"/>
    </row>
    <row r="18" spans="1:18" ht="36" customHeight="1" x14ac:dyDescent="0.25">
      <c r="A18" s="5"/>
      <c r="B18" s="6"/>
      <c r="C18" s="6"/>
      <c r="D18" s="6"/>
      <c r="E18" s="6"/>
      <c r="F18" s="6"/>
      <c r="G18" s="7"/>
      <c r="H18" s="6"/>
      <c r="I18" s="6"/>
      <c r="J18" s="8"/>
      <c r="K18" s="7"/>
      <c r="L18" s="7"/>
      <c r="M18" s="7"/>
      <c r="N18" s="7"/>
      <c r="O18" s="7"/>
      <c r="P18" s="6"/>
      <c r="Q18" s="5"/>
      <c r="R18" s="6"/>
    </row>
    <row r="19" spans="1:18" ht="36" customHeight="1" x14ac:dyDescent="0.25">
      <c r="A19" s="5"/>
      <c r="B19" s="6"/>
      <c r="C19" s="6"/>
      <c r="D19" s="6"/>
      <c r="E19" s="6"/>
      <c r="F19" s="6"/>
      <c r="G19" s="7"/>
      <c r="H19" s="6"/>
      <c r="I19" s="6"/>
      <c r="J19" s="8"/>
      <c r="K19" s="7"/>
      <c r="L19" s="7"/>
      <c r="M19" s="7"/>
      <c r="N19" s="7"/>
      <c r="O19" s="7"/>
      <c r="P19" s="6"/>
      <c r="Q19" s="5"/>
      <c r="R19" s="6"/>
    </row>
    <row r="20" spans="1:18" ht="36" customHeight="1" x14ac:dyDescent="0.25">
      <c r="A20" s="5"/>
      <c r="B20" s="6"/>
      <c r="C20" s="6"/>
      <c r="D20" s="6"/>
      <c r="E20" s="6"/>
      <c r="F20" s="6"/>
      <c r="G20" s="7"/>
      <c r="H20" s="6"/>
      <c r="I20" s="6"/>
      <c r="J20" s="8"/>
      <c r="K20" s="7"/>
      <c r="L20" s="7"/>
      <c r="M20" s="7"/>
      <c r="N20" s="7"/>
      <c r="O20" s="7"/>
      <c r="P20" s="6"/>
      <c r="Q20" s="5"/>
      <c r="R20" s="6"/>
    </row>
    <row r="21" spans="1:18" ht="36" customHeight="1" x14ac:dyDescent="0.25">
      <c r="A21" s="5"/>
      <c r="B21" s="6"/>
      <c r="C21" s="6"/>
      <c r="D21" s="6"/>
      <c r="E21" s="6"/>
      <c r="F21" s="6"/>
      <c r="G21" s="7"/>
      <c r="H21" s="6"/>
      <c r="I21" s="6"/>
      <c r="J21" s="8"/>
      <c r="K21" s="7"/>
      <c r="L21" s="7"/>
      <c r="M21" s="7"/>
      <c r="N21" s="7"/>
      <c r="O21" s="7"/>
      <c r="P21" s="6"/>
      <c r="Q21" s="5"/>
      <c r="R21" s="6"/>
    </row>
    <row r="22" spans="1:18" ht="36" customHeight="1" x14ac:dyDescent="0.25">
      <c r="A22" s="5"/>
      <c r="B22" s="6"/>
      <c r="C22" s="6"/>
      <c r="D22" s="6"/>
      <c r="E22" s="6"/>
      <c r="F22" s="6"/>
      <c r="G22" s="7"/>
      <c r="H22" s="6"/>
      <c r="I22" s="6"/>
      <c r="J22" s="8"/>
      <c r="K22" s="7"/>
      <c r="L22" s="7"/>
      <c r="M22" s="7"/>
      <c r="N22" s="7"/>
      <c r="O22" s="7"/>
      <c r="P22" s="6"/>
      <c r="Q22" s="5"/>
      <c r="R22" s="6"/>
    </row>
    <row r="23" spans="1:18" ht="36" customHeight="1" x14ac:dyDescent="0.25">
      <c r="A23" s="5"/>
      <c r="B23" s="6"/>
      <c r="C23" s="6"/>
      <c r="D23" s="6"/>
      <c r="E23" s="6"/>
      <c r="F23" s="6"/>
      <c r="G23" s="7"/>
      <c r="H23" s="6"/>
      <c r="I23" s="6"/>
      <c r="J23" s="8"/>
      <c r="K23" s="7"/>
      <c r="L23" s="7"/>
      <c r="M23" s="7"/>
      <c r="N23" s="7"/>
      <c r="O23" s="7"/>
      <c r="P23" s="6"/>
      <c r="Q23" s="5"/>
      <c r="R23" s="6"/>
    </row>
    <row r="24" spans="1:18" ht="36" customHeight="1" x14ac:dyDescent="0.25">
      <c r="A24" s="5"/>
      <c r="B24" s="6"/>
      <c r="C24" s="6"/>
      <c r="D24" s="6"/>
      <c r="E24" s="6"/>
      <c r="F24" s="6"/>
      <c r="G24" s="7"/>
      <c r="H24" s="6"/>
      <c r="I24" s="6"/>
      <c r="J24" s="8"/>
      <c r="K24" s="7"/>
      <c r="L24" s="7"/>
      <c r="M24" s="7"/>
      <c r="N24" s="7"/>
      <c r="O24" s="7"/>
      <c r="P24" s="6"/>
      <c r="Q24" s="5"/>
      <c r="R24" s="6"/>
    </row>
    <row r="25" spans="1:18" ht="36" customHeight="1" x14ac:dyDescent="0.25">
      <c r="A25" s="5"/>
      <c r="B25" s="6"/>
      <c r="C25" s="6"/>
      <c r="D25" s="6"/>
      <c r="E25" s="6"/>
      <c r="F25" s="6"/>
      <c r="G25" s="7"/>
      <c r="H25" s="6"/>
      <c r="I25" s="6"/>
      <c r="J25" s="8"/>
      <c r="K25" s="7"/>
      <c r="L25" s="7"/>
      <c r="M25" s="7"/>
      <c r="N25" s="7"/>
      <c r="O25" s="7"/>
      <c r="P25" s="6"/>
      <c r="Q25" s="5"/>
      <c r="R25" s="6"/>
    </row>
    <row r="26" spans="1:18" ht="36" customHeight="1" x14ac:dyDescent="0.25">
      <c r="A26" s="5"/>
      <c r="B26" s="6"/>
      <c r="C26" s="6"/>
      <c r="D26" s="6"/>
      <c r="E26" s="6"/>
      <c r="F26" s="6"/>
      <c r="G26" s="7"/>
      <c r="H26" s="6"/>
      <c r="I26" s="6"/>
      <c r="J26" s="8"/>
      <c r="K26" s="7"/>
      <c r="L26" s="7"/>
      <c r="M26" s="7"/>
      <c r="N26" s="7"/>
      <c r="O26" s="7"/>
      <c r="P26" s="6"/>
      <c r="Q26" s="5"/>
      <c r="R26" s="6"/>
    </row>
    <row r="27" spans="1:18" ht="36" customHeight="1" x14ac:dyDescent="0.25">
      <c r="A27" s="5"/>
      <c r="B27" s="6"/>
      <c r="C27" s="6"/>
      <c r="D27" s="6"/>
      <c r="E27" s="6"/>
      <c r="F27" s="6"/>
      <c r="G27" s="7"/>
      <c r="H27" s="6"/>
      <c r="I27" s="6"/>
      <c r="J27" s="8"/>
      <c r="K27" s="7"/>
      <c r="L27" s="7"/>
      <c r="M27" s="7"/>
      <c r="N27" s="7"/>
      <c r="O27" s="7"/>
      <c r="P27" s="6"/>
      <c r="Q27" s="5"/>
      <c r="R27" s="6"/>
    </row>
    <row r="28" spans="1:18" ht="36" customHeight="1" x14ac:dyDescent="0.25">
      <c r="A28" s="5"/>
      <c r="B28" s="6"/>
      <c r="C28" s="6"/>
      <c r="D28" s="6"/>
      <c r="E28" s="6"/>
      <c r="F28" s="6"/>
      <c r="G28" s="7"/>
      <c r="H28" s="6"/>
      <c r="I28" s="6"/>
      <c r="J28" s="8"/>
      <c r="K28" s="7"/>
      <c r="L28" s="7"/>
      <c r="M28" s="7"/>
      <c r="N28" s="7"/>
      <c r="O28" s="7"/>
      <c r="P28" s="6"/>
      <c r="Q28" s="5"/>
      <c r="R28" s="6"/>
    </row>
    <row r="29" spans="1:18" ht="36" customHeight="1" x14ac:dyDescent="0.25">
      <c r="A29" s="5"/>
      <c r="B29" s="6"/>
      <c r="C29" s="6"/>
      <c r="D29" s="6"/>
      <c r="E29" s="6"/>
      <c r="F29" s="6"/>
      <c r="G29" s="7"/>
      <c r="H29" s="6"/>
      <c r="I29" s="6"/>
      <c r="J29" s="8"/>
      <c r="K29" s="7"/>
      <c r="L29" s="7"/>
      <c r="M29" s="7"/>
      <c r="N29" s="7"/>
      <c r="O29" s="7"/>
      <c r="P29" s="6"/>
      <c r="Q29" s="5"/>
      <c r="R29" s="6"/>
    </row>
    <row r="30" spans="1:18" ht="36" customHeight="1" x14ac:dyDescent="0.25">
      <c r="A30" s="5"/>
      <c r="B30" s="6"/>
      <c r="C30" s="6"/>
      <c r="D30" s="6"/>
      <c r="E30" s="6"/>
      <c r="F30" s="6"/>
      <c r="G30" s="7"/>
      <c r="H30" s="6"/>
      <c r="I30" s="6"/>
      <c r="J30" s="8"/>
      <c r="K30" s="7"/>
      <c r="L30" s="7"/>
      <c r="M30" s="7"/>
      <c r="N30" s="7"/>
      <c r="O30" s="7"/>
      <c r="P30" s="6"/>
      <c r="Q30" s="5"/>
      <c r="R30" s="6"/>
    </row>
    <row r="31" spans="1:18" ht="36" customHeight="1" x14ac:dyDescent="0.25">
      <c r="A31" s="5"/>
      <c r="B31" s="6"/>
      <c r="C31" s="6"/>
      <c r="D31" s="6"/>
      <c r="E31" s="6"/>
      <c r="F31" s="6"/>
      <c r="G31" s="7"/>
      <c r="H31" s="6"/>
      <c r="I31" s="6"/>
      <c r="J31" s="8"/>
      <c r="K31" s="7"/>
      <c r="L31" s="7"/>
      <c r="M31" s="7"/>
      <c r="N31" s="7"/>
      <c r="O31" s="7"/>
      <c r="P31" s="6"/>
      <c r="Q31" s="5"/>
      <c r="R31" s="6"/>
    </row>
    <row r="32" spans="1:18" ht="36" customHeight="1" x14ac:dyDescent="0.25">
      <c r="A32" s="5"/>
      <c r="B32" s="6"/>
      <c r="C32" s="6"/>
      <c r="D32" s="6"/>
      <c r="E32" s="6"/>
      <c r="F32" s="6"/>
      <c r="G32" s="7"/>
      <c r="H32" s="6"/>
      <c r="I32" s="6"/>
      <c r="J32" s="8"/>
      <c r="K32" s="7"/>
      <c r="L32" s="7"/>
      <c r="M32" s="7"/>
      <c r="N32" s="7"/>
      <c r="O32" s="7"/>
      <c r="P32" s="6"/>
      <c r="Q32" s="5"/>
      <c r="R32" s="6"/>
    </row>
    <row r="33" spans="1:18" ht="36" customHeight="1" x14ac:dyDescent="0.25">
      <c r="A33" s="5"/>
      <c r="B33" s="6"/>
      <c r="C33" s="6"/>
      <c r="D33" s="6"/>
      <c r="E33" s="6"/>
      <c r="F33" s="6"/>
      <c r="G33" s="7"/>
      <c r="H33" s="6"/>
      <c r="I33" s="6"/>
      <c r="J33" s="8"/>
      <c r="K33" s="7"/>
      <c r="L33" s="7"/>
      <c r="M33" s="7"/>
      <c r="N33" s="7"/>
      <c r="O33" s="7"/>
      <c r="P33" s="6"/>
      <c r="Q33" s="5"/>
      <c r="R33" s="6"/>
    </row>
    <row r="34" spans="1:18" ht="36" customHeight="1" x14ac:dyDescent="0.25">
      <c r="A34" s="5"/>
      <c r="B34" s="6"/>
      <c r="C34" s="6"/>
      <c r="D34" s="6"/>
      <c r="E34" s="6"/>
      <c r="F34" s="6"/>
      <c r="G34" s="7"/>
      <c r="H34" s="6"/>
      <c r="I34" s="6"/>
      <c r="J34" s="8"/>
      <c r="K34" s="7"/>
      <c r="L34" s="7"/>
      <c r="M34" s="7"/>
      <c r="N34" s="7"/>
      <c r="O34" s="7"/>
      <c r="P34" s="6"/>
      <c r="Q34" s="5"/>
      <c r="R34" s="6"/>
    </row>
    <row r="35" spans="1:18" ht="36" customHeight="1" x14ac:dyDescent="0.25">
      <c r="A35" s="5"/>
      <c r="B35" s="6"/>
      <c r="C35" s="6"/>
      <c r="D35" s="6"/>
      <c r="E35" s="6"/>
      <c r="F35" s="6"/>
      <c r="G35" s="7"/>
      <c r="H35" s="6"/>
      <c r="I35" s="6"/>
      <c r="J35" s="8"/>
      <c r="K35" s="7"/>
      <c r="L35" s="7"/>
      <c r="M35" s="7"/>
      <c r="N35" s="7"/>
      <c r="O35" s="7"/>
      <c r="P35" s="6"/>
      <c r="Q35" s="5"/>
      <c r="R35" s="6"/>
    </row>
    <row r="36" spans="1:18" ht="36" customHeight="1" x14ac:dyDescent="0.25">
      <c r="A36" s="5"/>
      <c r="B36" s="6"/>
      <c r="C36" s="6"/>
      <c r="D36" s="6"/>
      <c r="E36" s="6"/>
      <c r="F36" s="6"/>
      <c r="G36" s="7"/>
      <c r="H36" s="6"/>
      <c r="I36" s="6"/>
      <c r="J36" s="8"/>
      <c r="K36" s="7"/>
      <c r="L36" s="7"/>
      <c r="M36" s="7"/>
      <c r="N36" s="7"/>
      <c r="O36" s="7"/>
      <c r="P36" s="6"/>
      <c r="Q36" s="5"/>
      <c r="R36" s="6"/>
    </row>
    <row r="37" spans="1:18" ht="36" customHeight="1" x14ac:dyDescent="0.25">
      <c r="A37" s="5"/>
      <c r="B37" s="6"/>
      <c r="C37" s="6"/>
      <c r="D37" s="6"/>
      <c r="E37" s="6"/>
      <c r="F37" s="6"/>
      <c r="G37" s="7"/>
      <c r="H37" s="6"/>
      <c r="I37" s="6"/>
      <c r="J37" s="8"/>
      <c r="K37" s="7"/>
      <c r="L37" s="7"/>
      <c r="M37" s="7"/>
      <c r="N37" s="7"/>
      <c r="O37" s="7"/>
      <c r="P37" s="6"/>
      <c r="Q37" s="5"/>
      <c r="R37" s="6"/>
    </row>
    <row r="38" spans="1:18" ht="36" customHeight="1" x14ac:dyDescent="0.25">
      <c r="A38" s="5"/>
      <c r="B38" s="6"/>
      <c r="C38" s="6"/>
      <c r="D38" s="6"/>
      <c r="E38" s="6"/>
      <c r="F38" s="6"/>
      <c r="G38" s="7"/>
      <c r="H38" s="6"/>
      <c r="I38" s="6"/>
      <c r="J38" s="8"/>
      <c r="K38" s="7"/>
      <c r="L38" s="7"/>
      <c r="M38" s="7"/>
      <c r="N38" s="7"/>
      <c r="O38" s="7"/>
      <c r="P38" s="6"/>
      <c r="Q38" s="5"/>
      <c r="R38" s="6"/>
    </row>
    <row r="39" spans="1:18" ht="36" customHeight="1" x14ac:dyDescent="0.25">
      <c r="A39" s="5"/>
      <c r="B39" s="6"/>
      <c r="C39" s="6"/>
      <c r="D39" s="6"/>
      <c r="E39" s="6"/>
      <c r="F39" s="6"/>
      <c r="G39" s="7"/>
      <c r="H39" s="6"/>
      <c r="I39" s="6"/>
      <c r="J39" s="8"/>
      <c r="K39" s="7"/>
      <c r="L39" s="7"/>
      <c r="M39" s="7"/>
      <c r="N39" s="7"/>
      <c r="O39" s="7"/>
      <c r="P39" s="6"/>
      <c r="Q39" s="5"/>
      <c r="R39" s="6"/>
    </row>
    <row r="40" spans="1:18" ht="36" customHeight="1" x14ac:dyDescent="0.25">
      <c r="A40" s="5"/>
      <c r="B40" s="6"/>
      <c r="C40" s="6"/>
      <c r="D40" s="6"/>
      <c r="E40" s="6"/>
      <c r="F40" s="6"/>
      <c r="G40" s="7"/>
      <c r="H40" s="6"/>
      <c r="I40" s="6"/>
      <c r="J40" s="8"/>
      <c r="K40" s="7"/>
      <c r="L40" s="7"/>
      <c r="M40" s="7"/>
      <c r="N40" s="7"/>
      <c r="O40" s="7"/>
      <c r="P40" s="6"/>
      <c r="Q40" s="5"/>
      <c r="R40" s="6"/>
    </row>
    <row r="41" spans="1:18" ht="36" customHeight="1" x14ac:dyDescent="0.25">
      <c r="A41" s="5"/>
      <c r="B41" s="6"/>
      <c r="C41" s="6"/>
      <c r="D41" s="6"/>
      <c r="E41" s="6"/>
      <c r="F41" s="6"/>
      <c r="G41" s="7"/>
      <c r="H41" s="6"/>
      <c r="I41" s="6"/>
      <c r="J41" s="8"/>
      <c r="K41" s="7"/>
      <c r="L41" s="7"/>
      <c r="M41" s="7"/>
      <c r="N41" s="7"/>
      <c r="O41" s="7"/>
      <c r="P41" s="6"/>
      <c r="Q41" s="5"/>
      <c r="R41" s="6"/>
    </row>
    <row r="42" spans="1:18" ht="36" customHeight="1" x14ac:dyDescent="0.25">
      <c r="A42" s="5"/>
      <c r="B42" s="6"/>
      <c r="C42" s="6"/>
      <c r="D42" s="6"/>
      <c r="E42" s="6"/>
      <c r="F42" s="6"/>
      <c r="G42" s="7"/>
      <c r="H42" s="6"/>
      <c r="I42" s="6"/>
      <c r="J42" s="8"/>
      <c r="K42" s="7"/>
      <c r="L42" s="7"/>
      <c r="M42" s="7"/>
      <c r="N42" s="7"/>
      <c r="O42" s="7"/>
      <c r="P42" s="6"/>
      <c r="Q42" s="5"/>
      <c r="R42" s="6"/>
    </row>
    <row r="43" spans="1:18" ht="36" customHeight="1" x14ac:dyDescent="0.25">
      <c r="A43" s="5"/>
      <c r="B43" s="6"/>
      <c r="C43" s="6"/>
      <c r="D43" s="6"/>
      <c r="E43" s="6"/>
      <c r="F43" s="6"/>
      <c r="G43" s="7"/>
      <c r="H43" s="6"/>
      <c r="I43" s="6"/>
      <c r="J43" s="8"/>
      <c r="K43" s="7"/>
      <c r="L43" s="7"/>
      <c r="M43" s="7"/>
      <c r="N43" s="7"/>
      <c r="O43" s="7"/>
      <c r="P43" s="6"/>
      <c r="Q43" s="5"/>
      <c r="R43" s="6"/>
    </row>
    <row r="44" spans="1:18" ht="36" customHeight="1" x14ac:dyDescent="0.25">
      <c r="A44" s="5"/>
      <c r="B44" s="6"/>
      <c r="C44" s="6"/>
      <c r="D44" s="6"/>
      <c r="E44" s="6"/>
      <c r="F44" s="6"/>
      <c r="G44" s="7"/>
      <c r="H44" s="6"/>
      <c r="I44" s="6"/>
      <c r="J44" s="8"/>
      <c r="K44" s="7"/>
      <c r="L44" s="7"/>
      <c r="M44" s="7"/>
      <c r="N44" s="7"/>
      <c r="O44" s="7"/>
      <c r="P44" s="6"/>
      <c r="Q44" s="5"/>
      <c r="R44" s="6"/>
    </row>
    <row r="45" spans="1:18" ht="36" customHeight="1" x14ac:dyDescent="0.25">
      <c r="A45" s="5"/>
      <c r="B45" s="6"/>
      <c r="C45" s="6"/>
      <c r="D45" s="6"/>
      <c r="E45" s="6"/>
      <c r="F45" s="6"/>
      <c r="G45" s="7"/>
      <c r="H45" s="6"/>
      <c r="I45" s="6"/>
      <c r="J45" s="8"/>
      <c r="K45" s="7"/>
      <c r="L45" s="7"/>
      <c r="M45" s="7"/>
      <c r="N45" s="7"/>
      <c r="O45" s="7"/>
      <c r="P45" s="6"/>
      <c r="Q45" s="5"/>
      <c r="R45" s="6"/>
    </row>
    <row r="46" spans="1:18" ht="36" customHeight="1" x14ac:dyDescent="0.25">
      <c r="A46" s="5"/>
      <c r="B46" s="6"/>
      <c r="C46" s="6"/>
      <c r="D46" s="6"/>
      <c r="E46" s="6"/>
      <c r="F46" s="6"/>
      <c r="G46" s="7"/>
      <c r="H46" s="6"/>
      <c r="I46" s="6"/>
      <c r="J46" s="8"/>
      <c r="K46" s="7"/>
      <c r="L46" s="7"/>
      <c r="M46" s="7"/>
      <c r="N46" s="7"/>
      <c r="O46" s="7"/>
      <c r="P46" s="6"/>
      <c r="Q46" s="5"/>
      <c r="R46" s="6"/>
    </row>
    <row r="47" spans="1:18" ht="36" customHeight="1" x14ac:dyDescent="0.25">
      <c r="A47" s="5"/>
      <c r="B47" s="6"/>
      <c r="C47" s="6"/>
      <c r="D47" s="6"/>
      <c r="E47" s="6"/>
      <c r="F47" s="6"/>
      <c r="G47" s="7"/>
      <c r="H47" s="6"/>
      <c r="I47" s="6"/>
      <c r="J47" s="8"/>
      <c r="K47" s="7"/>
      <c r="L47" s="7"/>
      <c r="M47" s="7"/>
      <c r="N47" s="7"/>
      <c r="O47" s="7"/>
      <c r="P47" s="6"/>
      <c r="Q47" s="5"/>
      <c r="R47" s="6"/>
    </row>
    <row r="48" spans="1:18" ht="36" customHeight="1" x14ac:dyDescent="0.25">
      <c r="A48" s="5"/>
      <c r="B48" s="6"/>
      <c r="C48" s="6"/>
      <c r="D48" s="6"/>
      <c r="E48" s="6"/>
      <c r="F48" s="6"/>
      <c r="G48" s="7"/>
      <c r="H48" s="6"/>
      <c r="I48" s="6"/>
      <c r="J48" s="8"/>
      <c r="K48" s="7"/>
      <c r="L48" s="7"/>
      <c r="M48" s="7"/>
      <c r="N48" s="7"/>
      <c r="O48" s="7"/>
      <c r="P48" s="6"/>
      <c r="Q48" s="5"/>
      <c r="R48" s="6"/>
    </row>
    <row r="49" spans="1:18" ht="36" customHeight="1" x14ac:dyDescent="0.25">
      <c r="A49" s="5"/>
      <c r="B49" s="6"/>
      <c r="C49" s="6"/>
      <c r="D49" s="6"/>
      <c r="E49" s="6"/>
      <c r="F49" s="6"/>
      <c r="G49" s="7"/>
      <c r="H49" s="6"/>
      <c r="I49" s="6"/>
      <c r="J49" s="8"/>
      <c r="K49" s="7"/>
      <c r="L49" s="7"/>
      <c r="M49" s="7"/>
      <c r="N49" s="7"/>
      <c r="O49" s="7"/>
      <c r="P49" s="6"/>
      <c r="Q49" s="5"/>
      <c r="R49" s="6"/>
    </row>
    <row r="50" spans="1:18" ht="36" customHeight="1" x14ac:dyDescent="0.25">
      <c r="A50" s="5"/>
      <c r="B50" s="6"/>
      <c r="C50" s="6"/>
      <c r="D50" s="6"/>
      <c r="E50" s="6"/>
      <c r="F50" s="6"/>
      <c r="G50" s="7"/>
      <c r="H50" s="6"/>
      <c r="I50" s="6"/>
      <c r="J50" s="8"/>
      <c r="K50" s="7"/>
      <c r="L50" s="7"/>
      <c r="M50" s="7"/>
      <c r="N50" s="7"/>
      <c r="O50" s="7"/>
      <c r="P50" s="6"/>
      <c r="Q50" s="5"/>
      <c r="R50" s="6"/>
    </row>
    <row r="51" spans="1:18" ht="36" customHeight="1" x14ac:dyDescent="0.25">
      <c r="A51" s="5"/>
      <c r="B51" s="6"/>
      <c r="C51" s="6"/>
      <c r="D51" s="6"/>
      <c r="E51" s="6"/>
      <c r="F51" s="6"/>
      <c r="G51" s="7"/>
      <c r="H51" s="6"/>
      <c r="I51" s="6"/>
      <c r="J51" s="8"/>
      <c r="K51" s="7"/>
      <c r="L51" s="7"/>
      <c r="M51" s="7"/>
      <c r="N51" s="7"/>
      <c r="O51" s="7"/>
      <c r="P51" s="6"/>
      <c r="Q51" s="5"/>
      <c r="R51" s="6"/>
    </row>
    <row r="52" spans="1:18" ht="36" customHeight="1" x14ac:dyDescent="0.25">
      <c r="A52" s="5"/>
      <c r="B52" s="6"/>
      <c r="C52" s="6"/>
      <c r="D52" s="6"/>
      <c r="E52" s="6"/>
      <c r="F52" s="6"/>
      <c r="G52" s="7"/>
      <c r="H52" s="6"/>
      <c r="I52" s="6"/>
      <c r="J52" s="8"/>
      <c r="K52" s="7"/>
      <c r="L52" s="7"/>
      <c r="M52" s="7"/>
      <c r="N52" s="7"/>
      <c r="O52" s="7"/>
      <c r="P52" s="6"/>
      <c r="Q52" s="5"/>
      <c r="R52" s="6"/>
    </row>
    <row r="53" spans="1:18" ht="36" customHeight="1" x14ac:dyDescent="0.25">
      <c r="A53" s="5"/>
      <c r="B53" s="6"/>
      <c r="C53" s="6"/>
      <c r="D53" s="6"/>
      <c r="E53" s="6"/>
      <c r="F53" s="6"/>
      <c r="G53" s="7"/>
      <c r="H53" s="6"/>
      <c r="I53" s="6"/>
      <c r="J53" s="8"/>
      <c r="K53" s="7"/>
      <c r="L53" s="7"/>
      <c r="M53" s="7"/>
      <c r="N53" s="7"/>
      <c r="O53" s="7"/>
      <c r="P53" s="6"/>
      <c r="Q53" s="5"/>
      <c r="R53" s="6"/>
    </row>
    <row r="54" spans="1:18" ht="36" customHeight="1" x14ac:dyDescent="0.25">
      <c r="A54" s="5"/>
      <c r="B54" s="6"/>
      <c r="C54" s="6"/>
      <c r="D54" s="6"/>
      <c r="E54" s="6"/>
      <c r="F54" s="6"/>
      <c r="G54" s="7"/>
      <c r="H54" s="6"/>
      <c r="I54" s="6"/>
      <c r="J54" s="8"/>
      <c r="K54" s="7"/>
      <c r="L54" s="7"/>
      <c r="M54" s="7"/>
      <c r="N54" s="7"/>
      <c r="O54" s="7"/>
      <c r="P54" s="6"/>
      <c r="Q54" s="5"/>
      <c r="R54" s="6"/>
    </row>
    <row r="55" spans="1:18" ht="36" customHeight="1" x14ac:dyDescent="0.25">
      <c r="A55" s="5"/>
      <c r="B55" s="6"/>
      <c r="C55" s="6"/>
      <c r="D55" s="6"/>
      <c r="E55" s="6"/>
      <c r="F55" s="6"/>
      <c r="G55" s="7"/>
      <c r="H55" s="6"/>
      <c r="I55" s="6"/>
      <c r="J55" s="8"/>
      <c r="K55" s="7"/>
      <c r="L55" s="7"/>
      <c r="M55" s="7"/>
      <c r="N55" s="7"/>
      <c r="O55" s="7"/>
      <c r="P55" s="6"/>
      <c r="Q55" s="5"/>
      <c r="R55" s="6"/>
    </row>
    <row r="56" spans="1:18" ht="36" customHeight="1" x14ac:dyDescent="0.25">
      <c r="A56" s="5"/>
      <c r="B56" s="6"/>
      <c r="C56" s="6"/>
      <c r="D56" s="6"/>
      <c r="E56" s="6"/>
      <c r="F56" s="6"/>
      <c r="G56" s="7"/>
      <c r="H56" s="6"/>
      <c r="I56" s="6"/>
      <c r="J56" s="8"/>
      <c r="K56" s="7"/>
      <c r="L56" s="7"/>
      <c r="M56" s="7"/>
      <c r="N56" s="7"/>
      <c r="O56" s="7"/>
      <c r="P56" s="6"/>
      <c r="Q56" s="5"/>
      <c r="R56" s="6"/>
    </row>
    <row r="57" spans="1:18" ht="36" customHeight="1" x14ac:dyDescent="0.25">
      <c r="A57" s="5"/>
      <c r="B57" s="6"/>
      <c r="C57" s="6"/>
      <c r="D57" s="6"/>
      <c r="E57" s="6"/>
      <c r="F57" s="6"/>
      <c r="G57" s="7"/>
      <c r="H57" s="6"/>
      <c r="I57" s="6"/>
      <c r="J57" s="8"/>
      <c r="K57" s="7"/>
      <c r="L57" s="7"/>
      <c r="M57" s="7"/>
      <c r="N57" s="7"/>
      <c r="O57" s="7"/>
      <c r="P57" s="6"/>
      <c r="Q57" s="5"/>
      <c r="R57" s="6"/>
    </row>
    <row r="58" spans="1:18" ht="36" customHeight="1" x14ac:dyDescent="0.25">
      <c r="A58" s="5"/>
      <c r="B58" s="6"/>
      <c r="C58" s="6"/>
      <c r="D58" s="6"/>
      <c r="E58" s="6"/>
      <c r="F58" s="6"/>
      <c r="G58" s="7"/>
      <c r="H58" s="6"/>
      <c r="I58" s="6"/>
      <c r="J58" s="8"/>
      <c r="K58" s="7"/>
      <c r="L58" s="7"/>
      <c r="M58" s="7"/>
      <c r="N58" s="7"/>
      <c r="O58" s="7"/>
      <c r="P58" s="6"/>
      <c r="Q58" s="5"/>
      <c r="R58" s="6"/>
    </row>
    <row r="59" spans="1:18" ht="36" customHeight="1" x14ac:dyDescent="0.25">
      <c r="A59" s="5"/>
      <c r="B59" s="6"/>
      <c r="C59" s="6"/>
      <c r="D59" s="6"/>
      <c r="E59" s="6"/>
      <c r="F59" s="6"/>
      <c r="G59" s="7"/>
      <c r="H59" s="6"/>
      <c r="I59" s="6"/>
      <c r="J59" s="8"/>
      <c r="K59" s="7"/>
      <c r="L59" s="7"/>
      <c r="M59" s="7"/>
      <c r="N59" s="7"/>
      <c r="O59" s="7"/>
      <c r="P59" s="6"/>
      <c r="Q59" s="5"/>
      <c r="R59" s="6"/>
    </row>
    <row r="60" spans="1:18" ht="36" customHeight="1" x14ac:dyDescent="0.25">
      <c r="A60" s="5"/>
      <c r="B60" s="6"/>
      <c r="C60" s="6"/>
      <c r="D60" s="6"/>
      <c r="E60" s="6"/>
      <c r="F60" s="6"/>
      <c r="G60" s="7"/>
      <c r="H60" s="6"/>
      <c r="I60" s="6"/>
      <c r="J60" s="8"/>
      <c r="K60" s="7"/>
      <c r="L60" s="7"/>
      <c r="M60" s="7"/>
      <c r="N60" s="7"/>
      <c r="O60" s="7"/>
      <c r="P60" s="6"/>
      <c r="Q60" s="5"/>
      <c r="R60" s="6"/>
    </row>
    <row r="61" spans="1:18" ht="36" customHeight="1" x14ac:dyDescent="0.25">
      <c r="A61" s="5"/>
      <c r="B61" s="6"/>
      <c r="C61" s="6"/>
      <c r="D61" s="6"/>
      <c r="E61" s="6"/>
      <c r="F61" s="6"/>
      <c r="G61" s="7"/>
      <c r="H61" s="6"/>
      <c r="I61" s="6"/>
      <c r="J61" s="8"/>
      <c r="K61" s="7"/>
      <c r="L61" s="7"/>
      <c r="M61" s="7"/>
      <c r="N61" s="7"/>
      <c r="O61" s="7"/>
      <c r="P61" s="6"/>
      <c r="Q61" s="5"/>
      <c r="R61" s="6"/>
    </row>
    <row r="62" spans="1:18" ht="36" customHeight="1" x14ac:dyDescent="0.25">
      <c r="A62" s="5"/>
      <c r="B62" s="6"/>
      <c r="C62" s="6"/>
      <c r="D62" s="6"/>
      <c r="E62" s="6"/>
      <c r="F62" s="6"/>
      <c r="G62" s="7"/>
      <c r="H62" s="6"/>
      <c r="I62" s="6"/>
      <c r="J62" s="8"/>
      <c r="K62" s="7"/>
      <c r="L62" s="7"/>
      <c r="M62" s="7"/>
      <c r="N62" s="7"/>
      <c r="O62" s="7"/>
      <c r="P62" s="6"/>
      <c r="Q62" s="5"/>
      <c r="R62" s="6"/>
    </row>
    <row r="63" spans="1:18" ht="36" customHeight="1" x14ac:dyDescent="0.25">
      <c r="A63" s="5"/>
      <c r="B63" s="6"/>
      <c r="C63" s="6"/>
      <c r="D63" s="6"/>
      <c r="E63" s="6"/>
      <c r="F63" s="6"/>
      <c r="G63" s="7"/>
      <c r="H63" s="6"/>
      <c r="I63" s="6"/>
      <c r="J63" s="8"/>
      <c r="K63" s="7"/>
      <c r="L63" s="7"/>
      <c r="M63" s="7"/>
      <c r="N63" s="7"/>
      <c r="O63" s="7"/>
      <c r="P63" s="6"/>
      <c r="Q63" s="5"/>
      <c r="R63" s="6"/>
    </row>
    <row r="64" spans="1:18" ht="36" customHeight="1" x14ac:dyDescent="0.25">
      <c r="A64" s="5"/>
      <c r="B64" s="6"/>
      <c r="C64" s="6"/>
      <c r="D64" s="6"/>
      <c r="E64" s="6"/>
      <c r="F64" s="6"/>
      <c r="G64" s="7"/>
      <c r="H64" s="6"/>
      <c r="I64" s="6"/>
      <c r="J64" s="8"/>
      <c r="K64" s="7"/>
      <c r="L64" s="7"/>
      <c r="M64" s="7"/>
      <c r="N64" s="7"/>
      <c r="O64" s="7"/>
      <c r="P64" s="6"/>
      <c r="Q64" s="5"/>
      <c r="R64" s="6"/>
    </row>
    <row r="65" spans="1:18" ht="36" customHeight="1" x14ac:dyDescent="0.25">
      <c r="A65" s="5"/>
      <c r="B65" s="6"/>
      <c r="C65" s="6"/>
      <c r="D65" s="6"/>
      <c r="E65" s="6"/>
      <c r="F65" s="6"/>
      <c r="G65" s="7"/>
      <c r="H65" s="6"/>
      <c r="I65" s="6"/>
      <c r="J65" s="8"/>
      <c r="K65" s="7"/>
      <c r="L65" s="7"/>
      <c r="M65" s="7"/>
      <c r="N65" s="7"/>
      <c r="O65" s="7"/>
      <c r="P65" s="6"/>
      <c r="Q65" s="5"/>
      <c r="R65" s="6"/>
    </row>
    <row r="66" spans="1:18" ht="36" customHeight="1" x14ac:dyDescent="0.25">
      <c r="A66" s="5"/>
      <c r="B66" s="6"/>
      <c r="C66" s="6"/>
      <c r="D66" s="6"/>
      <c r="E66" s="6"/>
      <c r="F66" s="6"/>
      <c r="G66" s="7"/>
      <c r="H66" s="6"/>
      <c r="I66" s="6"/>
      <c r="J66" s="8"/>
      <c r="K66" s="7"/>
      <c r="L66" s="7"/>
      <c r="M66" s="7"/>
      <c r="N66" s="7"/>
      <c r="O66" s="7"/>
      <c r="P66" s="6"/>
      <c r="Q66" s="5"/>
      <c r="R66" s="6"/>
    </row>
    <row r="67" spans="1:18" ht="36" customHeight="1" x14ac:dyDescent="0.25">
      <c r="A67" s="5"/>
      <c r="B67" s="6"/>
      <c r="C67" s="6"/>
      <c r="D67" s="6"/>
      <c r="E67" s="6"/>
      <c r="F67" s="6"/>
      <c r="G67" s="7"/>
      <c r="H67" s="6"/>
      <c r="I67" s="6"/>
      <c r="J67" s="8"/>
      <c r="K67" s="7"/>
      <c r="L67" s="7"/>
      <c r="M67" s="7"/>
      <c r="N67" s="7"/>
      <c r="O67" s="7"/>
      <c r="P67" s="6"/>
      <c r="Q67" s="5"/>
      <c r="R67" s="6"/>
    </row>
    <row r="68" spans="1:18" ht="36" customHeight="1" x14ac:dyDescent="0.25">
      <c r="A68" s="5"/>
      <c r="B68" s="6"/>
      <c r="C68" s="6"/>
      <c r="D68" s="6"/>
      <c r="E68" s="6"/>
      <c r="F68" s="6"/>
      <c r="G68" s="7"/>
      <c r="H68" s="6"/>
      <c r="I68" s="6"/>
      <c r="J68" s="8"/>
      <c r="K68" s="7"/>
      <c r="L68" s="7"/>
      <c r="M68" s="7"/>
      <c r="N68" s="7"/>
      <c r="O68" s="7"/>
      <c r="P68" s="6"/>
      <c r="Q68" s="5"/>
      <c r="R68" s="6"/>
    </row>
    <row r="69" spans="1:18" ht="36" customHeight="1" x14ac:dyDescent="0.25">
      <c r="A69" s="5"/>
      <c r="B69" s="6"/>
      <c r="C69" s="6"/>
      <c r="D69" s="6"/>
      <c r="E69" s="6"/>
      <c r="F69" s="6"/>
      <c r="G69" s="7"/>
      <c r="H69" s="6"/>
      <c r="I69" s="6"/>
      <c r="J69" s="8"/>
      <c r="K69" s="7"/>
      <c r="L69" s="7"/>
      <c r="M69" s="7"/>
      <c r="N69" s="7"/>
      <c r="O69" s="7"/>
      <c r="P69" s="6"/>
      <c r="Q69" s="5"/>
      <c r="R69" s="6"/>
    </row>
    <row r="70" spans="1:18" ht="36" customHeight="1" x14ac:dyDescent="0.25">
      <c r="A70" s="5"/>
      <c r="B70" s="6"/>
      <c r="C70" s="6"/>
      <c r="D70" s="6"/>
      <c r="E70" s="6"/>
      <c r="F70" s="6"/>
      <c r="G70" s="7"/>
      <c r="H70" s="6"/>
      <c r="I70" s="6"/>
      <c r="J70" s="8"/>
      <c r="K70" s="7"/>
      <c r="L70" s="7"/>
      <c r="M70" s="7"/>
      <c r="N70" s="7"/>
      <c r="O70" s="7"/>
      <c r="P70" s="6"/>
      <c r="Q70" s="5"/>
      <c r="R70" s="6"/>
    </row>
    <row r="71" spans="1:18" ht="36" customHeight="1" x14ac:dyDescent="0.25">
      <c r="A71" s="5"/>
      <c r="B71" s="6"/>
      <c r="C71" s="6"/>
      <c r="D71" s="6"/>
      <c r="E71" s="6"/>
      <c r="F71" s="6"/>
      <c r="G71" s="7"/>
      <c r="H71" s="6"/>
      <c r="I71" s="6"/>
      <c r="J71" s="8"/>
      <c r="K71" s="7"/>
      <c r="L71" s="7"/>
      <c r="M71" s="7"/>
      <c r="N71" s="7"/>
      <c r="O71" s="7"/>
      <c r="P71" s="6"/>
      <c r="Q71" s="5"/>
      <c r="R71" s="6"/>
    </row>
    <row r="72" spans="1:18" ht="36" customHeight="1" x14ac:dyDescent="0.25">
      <c r="A72" s="5"/>
      <c r="B72" s="6"/>
      <c r="C72" s="6"/>
      <c r="D72" s="6"/>
      <c r="E72" s="6"/>
      <c r="F72" s="6"/>
      <c r="G72" s="7"/>
      <c r="H72" s="6"/>
      <c r="I72" s="6"/>
      <c r="J72" s="8"/>
      <c r="K72" s="7"/>
      <c r="L72" s="7"/>
      <c r="M72" s="7"/>
      <c r="N72" s="7"/>
      <c r="O72" s="7"/>
      <c r="P72" s="6"/>
      <c r="Q72" s="5"/>
      <c r="R72" s="6"/>
    </row>
    <row r="73" spans="1:18" ht="36" customHeight="1" x14ac:dyDescent="0.25">
      <c r="A73" s="5"/>
      <c r="B73" s="6"/>
      <c r="C73" s="6"/>
      <c r="D73" s="6"/>
      <c r="E73" s="6"/>
      <c r="F73" s="6"/>
      <c r="G73" s="7"/>
      <c r="H73" s="6"/>
      <c r="I73" s="6"/>
      <c r="J73" s="8"/>
      <c r="K73" s="7"/>
      <c r="L73" s="7"/>
      <c r="M73" s="7"/>
      <c r="N73" s="7"/>
      <c r="O73" s="7"/>
      <c r="P73" s="6"/>
      <c r="Q73" s="5"/>
      <c r="R73" s="6"/>
    </row>
    <row r="74" spans="1:18" ht="36" customHeight="1" x14ac:dyDescent="0.25">
      <c r="A74" s="5"/>
      <c r="B74" s="6"/>
      <c r="C74" s="6"/>
      <c r="D74" s="6"/>
      <c r="E74" s="6"/>
      <c r="F74" s="6"/>
      <c r="G74" s="7"/>
      <c r="H74" s="6"/>
      <c r="I74" s="6"/>
      <c r="J74" s="8"/>
      <c r="K74" s="7"/>
      <c r="L74" s="7"/>
      <c r="M74" s="7"/>
      <c r="N74" s="7"/>
      <c r="O74" s="7"/>
      <c r="P74" s="6"/>
      <c r="Q74" s="5"/>
      <c r="R74" s="6"/>
    </row>
    <row r="75" spans="1:18" ht="36" customHeight="1" x14ac:dyDescent="0.25">
      <c r="A75" s="5"/>
      <c r="B75" s="6"/>
      <c r="C75" s="6"/>
      <c r="D75" s="6"/>
      <c r="E75" s="6"/>
      <c r="F75" s="6"/>
      <c r="G75" s="7"/>
      <c r="H75" s="6"/>
      <c r="I75" s="6"/>
      <c r="J75" s="8"/>
      <c r="K75" s="7"/>
      <c r="L75" s="7"/>
      <c r="M75" s="7"/>
      <c r="N75" s="7"/>
      <c r="O75" s="7"/>
      <c r="P75" s="6"/>
      <c r="Q75" s="5"/>
      <c r="R75" s="6"/>
    </row>
    <row r="76" spans="1:18" ht="36" customHeight="1" x14ac:dyDescent="0.25">
      <c r="A76" s="5"/>
      <c r="B76" s="6"/>
      <c r="C76" s="6"/>
      <c r="D76" s="6"/>
      <c r="E76" s="6"/>
      <c r="F76" s="6"/>
      <c r="G76" s="7"/>
      <c r="H76" s="6"/>
      <c r="I76" s="6"/>
      <c r="J76" s="8"/>
      <c r="K76" s="7"/>
      <c r="L76" s="7"/>
      <c r="M76" s="7"/>
      <c r="N76" s="7"/>
      <c r="O76" s="7"/>
      <c r="P76" s="6"/>
      <c r="Q76" s="5"/>
      <c r="R76" s="6"/>
    </row>
    <row r="77" spans="1:18" ht="36" customHeight="1" x14ac:dyDescent="0.25">
      <c r="A77" s="5"/>
      <c r="B77" s="6"/>
      <c r="C77" s="6"/>
      <c r="D77" s="6"/>
      <c r="E77" s="6"/>
      <c r="F77" s="6"/>
      <c r="G77" s="7"/>
      <c r="H77" s="6"/>
      <c r="I77" s="6"/>
      <c r="J77" s="8"/>
      <c r="K77" s="7"/>
      <c r="L77" s="7"/>
      <c r="M77" s="7"/>
      <c r="N77" s="7"/>
      <c r="O77" s="7"/>
      <c r="P77" s="6"/>
      <c r="Q77" s="5"/>
      <c r="R77" s="6"/>
    </row>
    <row r="78" spans="1:18" ht="36" customHeight="1" x14ac:dyDescent="0.25">
      <c r="A78" s="5"/>
      <c r="B78" s="6"/>
      <c r="C78" s="6"/>
      <c r="D78" s="6"/>
      <c r="E78" s="6"/>
      <c r="F78" s="6"/>
      <c r="G78" s="7"/>
      <c r="H78" s="6"/>
      <c r="I78" s="6"/>
      <c r="J78" s="8"/>
      <c r="K78" s="7"/>
      <c r="L78" s="7"/>
      <c r="M78" s="7"/>
      <c r="N78" s="7"/>
      <c r="O78" s="7"/>
      <c r="P78" s="6"/>
      <c r="Q78" s="5"/>
      <c r="R78" s="6"/>
    </row>
    <row r="79" spans="1:18" ht="36" customHeight="1" x14ac:dyDescent="0.25">
      <c r="A79" s="5"/>
      <c r="B79" s="6"/>
      <c r="C79" s="6"/>
      <c r="D79" s="6"/>
      <c r="E79" s="6"/>
      <c r="F79" s="6"/>
      <c r="G79" s="7"/>
      <c r="H79" s="6"/>
      <c r="I79" s="6"/>
      <c r="J79" s="8"/>
      <c r="K79" s="7"/>
      <c r="L79" s="7"/>
      <c r="M79" s="7"/>
      <c r="N79" s="7"/>
      <c r="O79" s="7"/>
      <c r="P79" s="6"/>
      <c r="Q79" s="5"/>
      <c r="R79" s="6"/>
    </row>
    <row r="80" spans="1:18" ht="36" customHeight="1" x14ac:dyDescent="0.25">
      <c r="A80" s="5"/>
      <c r="B80" s="6"/>
      <c r="C80" s="6"/>
      <c r="D80" s="6"/>
      <c r="E80" s="6"/>
      <c r="F80" s="6"/>
      <c r="G80" s="7"/>
      <c r="H80" s="6"/>
      <c r="I80" s="6"/>
      <c r="J80" s="8"/>
      <c r="K80" s="7"/>
      <c r="L80" s="7"/>
      <c r="M80" s="7"/>
      <c r="N80" s="7"/>
      <c r="O80" s="7"/>
      <c r="P80" s="6"/>
      <c r="Q80" s="5"/>
      <c r="R80" s="6"/>
    </row>
    <row r="81" spans="1:18" ht="36" customHeight="1" x14ac:dyDescent="0.25">
      <c r="A81" s="5"/>
      <c r="B81" s="6"/>
      <c r="C81" s="6"/>
      <c r="D81" s="6"/>
      <c r="E81" s="6"/>
      <c r="F81" s="6"/>
      <c r="G81" s="7"/>
      <c r="H81" s="6"/>
      <c r="I81" s="6"/>
      <c r="J81" s="8"/>
      <c r="K81" s="7"/>
      <c r="L81" s="7"/>
      <c r="M81" s="7"/>
      <c r="N81" s="7"/>
      <c r="O81" s="7"/>
      <c r="P81" s="6"/>
      <c r="Q81" s="5"/>
      <c r="R81" s="6"/>
    </row>
    <row r="82" spans="1:18" ht="36" customHeight="1" x14ac:dyDescent="0.25">
      <c r="A82" s="5"/>
      <c r="B82" s="6"/>
      <c r="C82" s="6"/>
      <c r="D82" s="6"/>
      <c r="E82" s="6"/>
      <c r="F82" s="6"/>
      <c r="G82" s="7"/>
      <c r="H82" s="6"/>
      <c r="I82" s="6"/>
      <c r="J82" s="8"/>
      <c r="K82" s="7"/>
      <c r="L82" s="7"/>
      <c r="M82" s="7"/>
      <c r="N82" s="7"/>
      <c r="O82" s="7"/>
      <c r="P82" s="6"/>
      <c r="Q82" s="5"/>
      <c r="R82" s="6"/>
    </row>
    <row r="83" spans="1:18" ht="36" customHeight="1" x14ac:dyDescent="0.25">
      <c r="A83" s="5"/>
      <c r="B83" s="6"/>
      <c r="C83" s="6"/>
      <c r="D83" s="6"/>
      <c r="E83" s="6"/>
      <c r="F83" s="6"/>
      <c r="G83" s="7"/>
      <c r="H83" s="6"/>
      <c r="I83" s="6"/>
      <c r="J83" s="8"/>
      <c r="K83" s="7"/>
      <c r="L83" s="7"/>
      <c r="M83" s="7"/>
      <c r="N83" s="7"/>
      <c r="O83" s="7"/>
      <c r="P83" s="6"/>
      <c r="Q83" s="5"/>
      <c r="R83" s="6"/>
    </row>
    <row r="84" spans="1:18" ht="36" customHeight="1" x14ac:dyDescent="0.25">
      <c r="A84" s="5"/>
      <c r="B84" s="6"/>
      <c r="C84" s="6"/>
      <c r="D84" s="6"/>
      <c r="E84" s="6"/>
      <c r="F84" s="6"/>
      <c r="G84" s="7"/>
      <c r="H84" s="6"/>
      <c r="I84" s="6"/>
      <c r="J84" s="8"/>
      <c r="K84" s="7"/>
      <c r="L84" s="7"/>
      <c r="M84" s="7"/>
      <c r="N84" s="7"/>
      <c r="O84" s="7"/>
      <c r="P84" s="6"/>
      <c r="Q84" s="5"/>
      <c r="R84" s="6"/>
    </row>
    <row r="85" spans="1:18" ht="36" customHeight="1" x14ac:dyDescent="0.25">
      <c r="A85" s="5"/>
      <c r="B85" s="6"/>
      <c r="C85" s="6"/>
      <c r="D85" s="6"/>
      <c r="E85" s="6"/>
      <c r="F85" s="6"/>
      <c r="G85" s="7"/>
      <c r="H85" s="6"/>
      <c r="I85" s="6"/>
      <c r="J85" s="8"/>
      <c r="K85" s="7"/>
      <c r="L85" s="7"/>
      <c r="M85" s="7"/>
      <c r="N85" s="7"/>
      <c r="O85" s="7"/>
      <c r="P85" s="6"/>
      <c r="Q85" s="5"/>
      <c r="R85" s="6"/>
    </row>
    <row r="86" spans="1:18" ht="36" customHeight="1" x14ac:dyDescent="0.25">
      <c r="A86" s="5"/>
      <c r="B86" s="6"/>
      <c r="C86" s="6"/>
      <c r="D86" s="6"/>
      <c r="E86" s="6"/>
      <c r="F86" s="6"/>
      <c r="G86" s="7"/>
      <c r="H86" s="6"/>
      <c r="I86" s="6"/>
      <c r="J86" s="8"/>
      <c r="K86" s="7"/>
      <c r="L86" s="7"/>
      <c r="M86" s="7"/>
      <c r="N86" s="7"/>
      <c r="O86" s="7"/>
      <c r="P86" s="6"/>
      <c r="Q86" s="5"/>
      <c r="R86" s="6"/>
    </row>
    <row r="87" spans="1:18" ht="36" customHeight="1" x14ac:dyDescent="0.25">
      <c r="A87" s="5"/>
      <c r="B87" s="6"/>
      <c r="C87" s="6"/>
      <c r="D87" s="6"/>
      <c r="E87" s="6"/>
      <c r="F87" s="6"/>
      <c r="G87" s="7"/>
      <c r="H87" s="6"/>
      <c r="I87" s="6"/>
      <c r="J87" s="8"/>
      <c r="K87" s="7"/>
      <c r="L87" s="7"/>
      <c r="M87" s="7"/>
      <c r="N87" s="7"/>
      <c r="O87" s="7"/>
      <c r="P87" s="6"/>
      <c r="Q87" s="5"/>
      <c r="R87" s="6"/>
    </row>
    <row r="88" spans="1:18" ht="36" customHeight="1" x14ac:dyDescent="0.25">
      <c r="A88" s="5"/>
      <c r="B88" s="6"/>
      <c r="C88" s="6"/>
      <c r="D88" s="6"/>
      <c r="E88" s="6"/>
      <c r="F88" s="6"/>
      <c r="G88" s="7"/>
      <c r="H88" s="6"/>
      <c r="I88" s="6"/>
      <c r="J88" s="8"/>
      <c r="K88" s="7"/>
      <c r="L88" s="7"/>
      <c r="M88" s="7"/>
      <c r="N88" s="7"/>
      <c r="O88" s="7"/>
      <c r="P88" s="6"/>
      <c r="Q88" s="5"/>
      <c r="R88" s="6"/>
    </row>
    <row r="89" spans="1:18" ht="36" customHeight="1" x14ac:dyDescent="0.25">
      <c r="A89" s="5"/>
      <c r="B89" s="6"/>
      <c r="C89" s="6"/>
      <c r="D89" s="6"/>
      <c r="E89" s="6"/>
      <c r="F89" s="6"/>
      <c r="G89" s="7"/>
      <c r="H89" s="6"/>
      <c r="I89" s="6"/>
      <c r="J89" s="8"/>
      <c r="K89" s="7"/>
      <c r="L89" s="7"/>
      <c r="M89" s="7"/>
      <c r="N89" s="7"/>
      <c r="O89" s="7"/>
      <c r="P89" s="6"/>
      <c r="Q89" s="5"/>
      <c r="R89" s="6"/>
    </row>
    <row r="90" spans="1:18" ht="36" customHeight="1" x14ac:dyDescent="0.25">
      <c r="A90" s="5"/>
      <c r="B90" s="6"/>
      <c r="C90" s="6"/>
      <c r="D90" s="6"/>
      <c r="E90" s="6"/>
      <c r="F90" s="6"/>
      <c r="G90" s="7"/>
      <c r="H90" s="6"/>
      <c r="I90" s="6"/>
      <c r="J90" s="8"/>
      <c r="K90" s="7"/>
      <c r="L90" s="7"/>
      <c r="M90" s="7"/>
      <c r="N90" s="7"/>
      <c r="O90" s="7"/>
      <c r="P90" s="6"/>
      <c r="Q90" s="5"/>
      <c r="R90" s="6"/>
    </row>
    <row r="91" spans="1:18" ht="36" customHeight="1" x14ac:dyDescent="0.25">
      <c r="A91" s="5"/>
      <c r="B91" s="6"/>
      <c r="C91" s="6"/>
      <c r="D91" s="6"/>
      <c r="E91" s="6"/>
      <c r="F91" s="6"/>
      <c r="G91" s="7"/>
      <c r="H91" s="6"/>
      <c r="I91" s="6"/>
      <c r="J91" s="8"/>
      <c r="K91" s="7"/>
      <c r="L91" s="7"/>
      <c r="M91" s="7"/>
      <c r="N91" s="7"/>
      <c r="O91" s="7"/>
      <c r="P91" s="6"/>
      <c r="Q91" s="5"/>
      <c r="R91" s="6"/>
    </row>
    <row r="92" spans="1:18" ht="36" customHeight="1" x14ac:dyDescent="0.25">
      <c r="A92" s="5"/>
      <c r="B92" s="6"/>
      <c r="C92" s="6"/>
      <c r="D92" s="6"/>
      <c r="E92" s="6"/>
      <c r="F92" s="6"/>
      <c r="G92" s="7"/>
      <c r="H92" s="6"/>
      <c r="I92" s="6"/>
      <c r="J92" s="8"/>
      <c r="K92" s="7"/>
      <c r="L92" s="7"/>
      <c r="M92" s="7"/>
      <c r="N92" s="7"/>
      <c r="O92" s="7"/>
      <c r="P92" s="6"/>
      <c r="Q92" s="5"/>
      <c r="R92" s="6"/>
    </row>
    <row r="93" spans="1:18" ht="36" customHeight="1" x14ac:dyDescent="0.25">
      <c r="A93" s="5"/>
      <c r="B93" s="6"/>
      <c r="C93" s="6"/>
      <c r="D93" s="6"/>
      <c r="E93" s="6"/>
      <c r="F93" s="6"/>
      <c r="G93" s="7"/>
      <c r="H93" s="6"/>
      <c r="I93" s="6"/>
      <c r="J93" s="8"/>
      <c r="K93" s="7"/>
      <c r="L93" s="7"/>
      <c r="M93" s="7"/>
      <c r="N93" s="7"/>
      <c r="O93" s="7"/>
      <c r="P93" s="6"/>
      <c r="Q93" s="5"/>
      <c r="R93" s="6"/>
    </row>
    <row r="94" spans="1:18" ht="36" customHeight="1" x14ac:dyDescent="0.25">
      <c r="A94" s="5"/>
      <c r="B94" s="6"/>
      <c r="C94" s="6"/>
      <c r="D94" s="6"/>
      <c r="E94" s="6"/>
      <c r="F94" s="6"/>
      <c r="G94" s="7"/>
      <c r="H94" s="6"/>
      <c r="I94" s="6"/>
      <c r="J94" s="8"/>
      <c r="K94" s="7"/>
      <c r="L94" s="7"/>
      <c r="M94" s="7"/>
      <c r="N94" s="7"/>
      <c r="O94" s="7"/>
      <c r="P94" s="6"/>
      <c r="Q94" s="5"/>
      <c r="R94" s="6"/>
    </row>
    <row r="95" spans="1:18" ht="36" customHeight="1" x14ac:dyDescent="0.25">
      <c r="A95" s="5"/>
      <c r="B95" s="6"/>
      <c r="C95" s="6"/>
      <c r="D95" s="6"/>
      <c r="E95" s="6"/>
      <c r="F95" s="6"/>
      <c r="G95" s="7"/>
      <c r="H95" s="6"/>
      <c r="I95" s="6"/>
      <c r="J95" s="8"/>
      <c r="K95" s="7"/>
      <c r="L95" s="7"/>
      <c r="M95" s="7"/>
      <c r="N95" s="7"/>
      <c r="O95" s="7"/>
      <c r="P95" s="6"/>
      <c r="Q95" s="5"/>
      <c r="R95" s="6"/>
    </row>
    <row r="96" spans="1:18" ht="36" customHeight="1" x14ac:dyDescent="0.25">
      <c r="A96" s="5"/>
      <c r="B96" s="6"/>
      <c r="C96" s="6"/>
      <c r="D96" s="6"/>
      <c r="E96" s="6"/>
      <c r="F96" s="6"/>
      <c r="G96" s="7"/>
      <c r="H96" s="6"/>
      <c r="I96" s="6"/>
      <c r="J96" s="8"/>
      <c r="K96" s="7"/>
      <c r="L96" s="7"/>
      <c r="M96" s="7"/>
      <c r="N96" s="7"/>
      <c r="O96" s="7"/>
      <c r="P96" s="6"/>
      <c r="Q96" s="5"/>
      <c r="R96" s="6"/>
    </row>
    <row r="97" spans="1:18" ht="36" customHeight="1" x14ac:dyDescent="0.25">
      <c r="A97" s="5"/>
      <c r="B97" s="6"/>
      <c r="C97" s="6"/>
      <c r="D97" s="6"/>
      <c r="E97" s="6"/>
      <c r="F97" s="6"/>
      <c r="G97" s="7"/>
      <c r="H97" s="6"/>
      <c r="I97" s="6"/>
      <c r="J97" s="8"/>
      <c r="K97" s="7"/>
      <c r="L97" s="7"/>
      <c r="M97" s="7"/>
      <c r="N97" s="7"/>
      <c r="O97" s="7"/>
      <c r="P97" s="6"/>
      <c r="Q97" s="5"/>
      <c r="R97" s="6"/>
    </row>
    <row r="98" spans="1:18" ht="36" customHeight="1" x14ac:dyDescent="0.25">
      <c r="A98" s="5"/>
      <c r="B98" s="6"/>
      <c r="C98" s="6"/>
      <c r="D98" s="6"/>
      <c r="E98" s="6"/>
      <c r="F98" s="6"/>
      <c r="G98" s="7"/>
      <c r="H98" s="6"/>
      <c r="I98" s="6"/>
      <c r="J98" s="8"/>
      <c r="K98" s="7"/>
      <c r="L98" s="7"/>
      <c r="M98" s="7"/>
      <c r="N98" s="7"/>
      <c r="O98" s="7"/>
      <c r="P98" s="6"/>
      <c r="Q98" s="5"/>
      <c r="R98" s="6"/>
    </row>
    <row r="99" spans="1:18" ht="36" customHeight="1" x14ac:dyDescent="0.25">
      <c r="A99" s="5"/>
      <c r="B99" s="6"/>
      <c r="C99" s="6"/>
      <c r="D99" s="6"/>
      <c r="E99" s="6"/>
      <c r="F99" s="6"/>
      <c r="G99" s="7"/>
      <c r="H99" s="6"/>
      <c r="I99" s="6"/>
      <c r="J99" s="8"/>
      <c r="K99" s="7"/>
      <c r="L99" s="7"/>
      <c r="M99" s="7"/>
      <c r="N99" s="7"/>
      <c r="O99" s="7"/>
      <c r="P99" s="6"/>
      <c r="Q99" s="5"/>
      <c r="R99" s="6"/>
    </row>
    <row r="100" spans="1:18" ht="36" customHeight="1" x14ac:dyDescent="0.25">
      <c r="A100" s="5"/>
      <c r="B100" s="6"/>
      <c r="C100" s="6"/>
      <c r="D100" s="6"/>
      <c r="E100" s="6"/>
      <c r="F100" s="6"/>
      <c r="G100" s="7"/>
      <c r="H100" s="6"/>
      <c r="I100" s="6"/>
      <c r="J100" s="8"/>
      <c r="K100" s="7"/>
      <c r="L100" s="7"/>
      <c r="M100" s="7"/>
      <c r="N100" s="7"/>
      <c r="O100" s="7"/>
      <c r="P100" s="6"/>
      <c r="Q100" s="5"/>
      <c r="R100" s="6"/>
    </row>
    <row r="101" spans="1:18" ht="36" customHeight="1" x14ac:dyDescent="0.25">
      <c r="A101" s="5"/>
      <c r="B101" s="6"/>
      <c r="C101" s="6"/>
      <c r="D101" s="6"/>
      <c r="E101" s="6"/>
      <c r="F101" s="6"/>
      <c r="G101" s="7"/>
      <c r="H101" s="6"/>
      <c r="I101" s="6"/>
      <c r="J101" s="8"/>
      <c r="K101" s="7"/>
      <c r="L101" s="7"/>
      <c r="M101" s="7"/>
      <c r="N101" s="7"/>
      <c r="O101" s="7"/>
      <c r="P101" s="6"/>
      <c r="Q101" s="5"/>
      <c r="R101" s="6"/>
    </row>
    <row r="102" spans="1:18" ht="36" customHeight="1" x14ac:dyDescent="0.25">
      <c r="A102" s="5"/>
      <c r="B102" s="6"/>
      <c r="C102" s="6"/>
      <c r="D102" s="6"/>
      <c r="E102" s="6"/>
      <c r="F102" s="6"/>
      <c r="G102" s="7"/>
      <c r="H102" s="6"/>
      <c r="I102" s="6"/>
      <c r="J102" s="8"/>
      <c r="K102" s="7"/>
      <c r="L102" s="7"/>
      <c r="M102" s="7"/>
      <c r="N102" s="7"/>
      <c r="O102" s="7"/>
      <c r="P102" s="6"/>
      <c r="Q102" s="5"/>
      <c r="R102" s="6"/>
    </row>
    <row r="103" spans="1:18" ht="36" customHeight="1" x14ac:dyDescent="0.25">
      <c r="A103" s="5"/>
      <c r="B103" s="6"/>
      <c r="C103" s="6"/>
      <c r="D103" s="6"/>
      <c r="E103" s="6"/>
      <c r="F103" s="6"/>
      <c r="G103" s="7"/>
      <c r="H103" s="6"/>
      <c r="I103" s="6"/>
      <c r="J103" s="8"/>
      <c r="K103" s="7"/>
      <c r="L103" s="7"/>
      <c r="M103" s="7"/>
      <c r="N103" s="7"/>
      <c r="O103" s="7"/>
      <c r="P103" s="6"/>
      <c r="Q103" s="5"/>
      <c r="R103" s="6"/>
    </row>
    <row r="104" spans="1:18" ht="36" customHeight="1" x14ac:dyDescent="0.25">
      <c r="A104" s="5"/>
      <c r="B104" s="6"/>
      <c r="C104" s="6"/>
      <c r="D104" s="6"/>
      <c r="E104" s="6"/>
      <c r="F104" s="6"/>
      <c r="G104" s="7"/>
      <c r="H104" s="6"/>
      <c r="I104" s="6"/>
      <c r="J104" s="8"/>
      <c r="K104" s="7"/>
      <c r="L104" s="7"/>
      <c r="M104" s="7"/>
      <c r="N104" s="7"/>
      <c r="O104" s="7"/>
      <c r="P104" s="6"/>
      <c r="Q104" s="5"/>
      <c r="R104" s="6"/>
    </row>
    <row r="105" spans="1:18" ht="36" customHeight="1" x14ac:dyDescent="0.25">
      <c r="A105" s="5"/>
      <c r="B105" s="6"/>
      <c r="C105" s="6"/>
      <c r="D105" s="6"/>
      <c r="E105" s="6"/>
      <c r="F105" s="6"/>
      <c r="G105" s="7"/>
      <c r="H105" s="6"/>
      <c r="I105" s="6"/>
      <c r="J105" s="8"/>
      <c r="K105" s="7"/>
      <c r="L105" s="7"/>
      <c r="M105" s="7"/>
      <c r="N105" s="7"/>
      <c r="O105" s="7"/>
      <c r="P105" s="6"/>
      <c r="Q105" s="5"/>
      <c r="R105" s="6"/>
    </row>
    <row r="106" spans="1:18" ht="36" customHeight="1" x14ac:dyDescent="0.25">
      <c r="A106" s="5"/>
      <c r="B106" s="6"/>
      <c r="C106" s="6"/>
      <c r="D106" s="6"/>
      <c r="E106" s="6"/>
      <c r="F106" s="6"/>
      <c r="G106" s="7"/>
      <c r="H106" s="6"/>
      <c r="I106" s="6"/>
      <c r="J106" s="8"/>
      <c r="K106" s="7"/>
      <c r="L106" s="7"/>
      <c r="M106" s="7"/>
      <c r="N106" s="7"/>
      <c r="O106" s="7"/>
      <c r="P106" s="6"/>
      <c r="Q106" s="5"/>
      <c r="R106" s="6"/>
    </row>
    <row r="107" spans="1:18" ht="36" customHeight="1" x14ac:dyDescent="0.25">
      <c r="A107" s="5"/>
      <c r="B107" s="6"/>
      <c r="C107" s="6"/>
      <c r="D107" s="6"/>
      <c r="E107" s="6"/>
      <c r="F107" s="6"/>
      <c r="G107" s="7"/>
      <c r="H107" s="6"/>
      <c r="I107" s="6"/>
      <c r="J107" s="8"/>
      <c r="K107" s="7"/>
      <c r="L107" s="7"/>
      <c r="M107" s="7"/>
      <c r="N107" s="7"/>
      <c r="O107" s="7"/>
      <c r="P107" s="6"/>
      <c r="Q107" s="5"/>
      <c r="R107" s="6"/>
    </row>
    <row r="108" spans="1:18" ht="36" customHeight="1" x14ac:dyDescent="0.25">
      <c r="A108" s="5"/>
      <c r="B108" s="6"/>
      <c r="C108" s="6"/>
      <c r="D108" s="6"/>
      <c r="E108" s="6"/>
      <c r="F108" s="6"/>
      <c r="G108" s="7"/>
      <c r="H108" s="6"/>
      <c r="I108" s="6"/>
      <c r="J108" s="8"/>
      <c r="K108" s="7"/>
      <c r="L108" s="7"/>
      <c r="M108" s="7"/>
      <c r="N108" s="7"/>
      <c r="O108" s="7"/>
      <c r="P108" s="6"/>
      <c r="Q108" s="5"/>
      <c r="R108" s="6"/>
    </row>
    <row r="109" spans="1:18" ht="36" customHeight="1" x14ac:dyDescent="0.25">
      <c r="A109" s="5"/>
      <c r="B109" s="6"/>
      <c r="C109" s="6"/>
      <c r="D109" s="6"/>
      <c r="E109" s="6"/>
      <c r="F109" s="6"/>
      <c r="G109" s="7"/>
      <c r="H109" s="6"/>
      <c r="I109" s="6"/>
      <c r="J109" s="8"/>
      <c r="K109" s="7"/>
      <c r="L109" s="7"/>
      <c r="M109" s="7"/>
      <c r="N109" s="7"/>
      <c r="O109" s="7"/>
      <c r="P109" s="6"/>
      <c r="Q109" s="5"/>
      <c r="R109" s="6"/>
    </row>
    <row r="110" spans="1:18" ht="36" customHeight="1" x14ac:dyDescent="0.25">
      <c r="A110" s="5"/>
      <c r="B110" s="6"/>
      <c r="C110" s="6"/>
      <c r="D110" s="6"/>
      <c r="E110" s="6"/>
      <c r="F110" s="6"/>
      <c r="G110" s="7"/>
      <c r="H110" s="6"/>
      <c r="I110" s="6"/>
      <c r="J110" s="8"/>
      <c r="K110" s="7"/>
      <c r="L110" s="7"/>
      <c r="M110" s="7"/>
      <c r="N110" s="7"/>
      <c r="O110" s="7"/>
      <c r="P110" s="6"/>
      <c r="Q110" s="5"/>
      <c r="R110" s="6"/>
    </row>
    <row r="111" spans="1:18" ht="36" customHeight="1" x14ac:dyDescent="0.25">
      <c r="A111" s="5"/>
      <c r="B111" s="6"/>
      <c r="C111" s="6"/>
      <c r="D111" s="6"/>
      <c r="E111" s="6"/>
      <c r="F111" s="6"/>
      <c r="G111" s="7"/>
      <c r="H111" s="6"/>
      <c r="I111" s="6"/>
      <c r="J111" s="8"/>
      <c r="K111" s="7"/>
      <c r="L111" s="7"/>
      <c r="M111" s="7"/>
      <c r="N111" s="7"/>
      <c r="O111" s="7"/>
      <c r="P111" s="6"/>
      <c r="Q111" s="5"/>
      <c r="R111" s="6"/>
    </row>
    <row r="112" spans="1:18" ht="36" customHeight="1" x14ac:dyDescent="0.25">
      <c r="A112" s="5"/>
      <c r="B112" s="6"/>
      <c r="C112" s="6"/>
      <c r="D112" s="6"/>
      <c r="E112" s="6"/>
      <c r="F112" s="6"/>
      <c r="G112" s="7"/>
      <c r="H112" s="6"/>
      <c r="I112" s="6"/>
      <c r="J112" s="8"/>
      <c r="K112" s="7"/>
      <c r="L112" s="7"/>
      <c r="M112" s="7"/>
      <c r="N112" s="7"/>
      <c r="O112" s="7"/>
      <c r="P112" s="6"/>
      <c r="Q112" s="5"/>
      <c r="R112" s="6"/>
    </row>
    <row r="113" spans="1:18" ht="36" customHeight="1" x14ac:dyDescent="0.25">
      <c r="A113" s="5"/>
      <c r="B113" s="6"/>
      <c r="C113" s="6"/>
      <c r="D113" s="6"/>
      <c r="E113" s="6"/>
      <c r="F113" s="6"/>
      <c r="G113" s="7"/>
      <c r="H113" s="6"/>
      <c r="I113" s="6"/>
      <c r="J113" s="8"/>
      <c r="K113" s="7"/>
      <c r="L113" s="7"/>
      <c r="M113" s="7"/>
      <c r="N113" s="7"/>
      <c r="O113" s="7"/>
      <c r="P113" s="6"/>
      <c r="Q113" s="5"/>
      <c r="R113" s="6"/>
    </row>
    <row r="114" spans="1:18" ht="36" customHeight="1" x14ac:dyDescent="0.25">
      <c r="A114" s="5"/>
      <c r="B114" s="6"/>
      <c r="C114" s="6"/>
      <c r="D114" s="6"/>
      <c r="E114" s="6"/>
      <c r="F114" s="6"/>
      <c r="G114" s="7"/>
      <c r="H114" s="6"/>
      <c r="I114" s="6"/>
      <c r="J114" s="8"/>
      <c r="K114" s="7"/>
      <c r="L114" s="7"/>
      <c r="M114" s="7"/>
      <c r="N114" s="7"/>
      <c r="O114" s="7"/>
      <c r="P114" s="6"/>
      <c r="Q114" s="5"/>
      <c r="R114" s="6"/>
    </row>
    <row r="115" spans="1:18" ht="36" customHeight="1" x14ac:dyDescent="0.25">
      <c r="A115" s="5"/>
      <c r="B115" s="6"/>
      <c r="C115" s="6"/>
      <c r="D115" s="6"/>
      <c r="E115" s="6"/>
      <c r="F115" s="6"/>
      <c r="G115" s="7"/>
      <c r="H115" s="6"/>
      <c r="I115" s="6"/>
      <c r="J115" s="8"/>
      <c r="K115" s="7"/>
      <c r="L115" s="7"/>
      <c r="M115" s="7"/>
      <c r="N115" s="7"/>
      <c r="O115" s="7"/>
      <c r="P115" s="6"/>
      <c r="Q115" s="5"/>
      <c r="R115" s="6"/>
    </row>
    <row r="116" spans="1:18" ht="36" customHeight="1" x14ac:dyDescent="0.25">
      <c r="A116" s="5"/>
      <c r="B116" s="6"/>
      <c r="C116" s="6"/>
      <c r="D116" s="6"/>
      <c r="E116" s="6"/>
      <c r="F116" s="6"/>
      <c r="G116" s="7"/>
      <c r="H116" s="6"/>
      <c r="I116" s="6"/>
      <c r="J116" s="8"/>
      <c r="K116" s="7"/>
      <c r="L116" s="7"/>
      <c r="M116" s="7"/>
      <c r="N116" s="7"/>
      <c r="O116" s="7"/>
      <c r="P116" s="6"/>
      <c r="Q116" s="5"/>
      <c r="R116" s="6"/>
    </row>
    <row r="117" spans="1:18" ht="36" customHeight="1" x14ac:dyDescent="0.25">
      <c r="A117" s="5"/>
      <c r="B117" s="6"/>
      <c r="C117" s="6"/>
      <c r="D117" s="6"/>
      <c r="E117" s="6"/>
      <c r="F117" s="6"/>
      <c r="G117" s="7"/>
      <c r="H117" s="6"/>
      <c r="I117" s="6"/>
      <c r="J117" s="8"/>
      <c r="K117" s="7"/>
      <c r="L117" s="7"/>
      <c r="M117" s="7"/>
      <c r="N117" s="7"/>
      <c r="O117" s="7"/>
      <c r="P117" s="6"/>
      <c r="Q117" s="5"/>
      <c r="R117" s="6"/>
    </row>
    <row r="118" spans="1:18" ht="36" customHeight="1" x14ac:dyDescent="0.25">
      <c r="A118" s="5"/>
      <c r="B118" s="6"/>
      <c r="C118" s="6"/>
      <c r="D118" s="6"/>
      <c r="E118" s="6"/>
      <c r="F118" s="6"/>
      <c r="G118" s="7"/>
      <c r="H118" s="6"/>
      <c r="I118" s="6"/>
      <c r="J118" s="8"/>
      <c r="K118" s="7"/>
      <c r="L118" s="7"/>
      <c r="M118" s="7"/>
      <c r="N118" s="7"/>
      <c r="O118" s="7"/>
      <c r="P118" s="6"/>
      <c r="Q118" s="5"/>
      <c r="R118" s="6"/>
    </row>
    <row r="119" spans="1:18" ht="36" customHeight="1" x14ac:dyDescent="0.25">
      <c r="A119" s="5"/>
      <c r="B119" s="6"/>
      <c r="C119" s="6"/>
      <c r="D119" s="6"/>
      <c r="E119" s="6"/>
      <c r="F119" s="6"/>
      <c r="G119" s="7"/>
      <c r="H119" s="6"/>
      <c r="I119" s="6"/>
      <c r="J119" s="8"/>
      <c r="K119" s="7"/>
      <c r="L119" s="7"/>
      <c r="M119" s="7"/>
      <c r="N119" s="7"/>
      <c r="O119" s="7"/>
      <c r="P119" s="6"/>
      <c r="Q119" s="5"/>
      <c r="R119" s="6"/>
    </row>
    <row r="120" spans="1:18" ht="36" customHeight="1" x14ac:dyDescent="0.25">
      <c r="A120" s="5"/>
      <c r="B120" s="6"/>
      <c r="C120" s="6"/>
      <c r="D120" s="6"/>
      <c r="E120" s="6"/>
      <c r="F120" s="6"/>
      <c r="G120" s="7"/>
      <c r="H120" s="6"/>
      <c r="I120" s="6"/>
      <c r="J120" s="8"/>
      <c r="K120" s="7"/>
      <c r="L120" s="7"/>
      <c r="M120" s="7"/>
      <c r="N120" s="7"/>
      <c r="O120" s="7"/>
      <c r="P120" s="6"/>
      <c r="Q120" s="5"/>
      <c r="R120" s="6"/>
    </row>
    <row r="121" spans="1:18" ht="36" customHeight="1" x14ac:dyDescent="0.25">
      <c r="A121" s="5"/>
      <c r="B121" s="6"/>
      <c r="C121" s="6"/>
      <c r="D121" s="6"/>
      <c r="E121" s="6"/>
      <c r="F121" s="6"/>
      <c r="G121" s="7"/>
      <c r="H121" s="6"/>
      <c r="I121" s="6"/>
      <c r="J121" s="8"/>
      <c r="K121" s="7"/>
      <c r="L121" s="7"/>
      <c r="M121" s="7"/>
      <c r="N121" s="7"/>
      <c r="O121" s="7"/>
      <c r="P121" s="6"/>
      <c r="Q121" s="5"/>
      <c r="R121" s="6"/>
    </row>
    <row r="122" spans="1:18" ht="36" customHeight="1" x14ac:dyDescent="0.25">
      <c r="A122" s="5"/>
      <c r="B122" s="6"/>
      <c r="C122" s="6"/>
      <c r="D122" s="6"/>
      <c r="E122" s="6"/>
      <c r="F122" s="6"/>
      <c r="G122" s="7"/>
      <c r="H122" s="6"/>
      <c r="I122" s="6"/>
      <c r="J122" s="8"/>
      <c r="K122" s="7"/>
      <c r="L122" s="7"/>
      <c r="M122" s="7"/>
      <c r="N122" s="7"/>
      <c r="O122" s="7"/>
      <c r="P122" s="6"/>
      <c r="Q122" s="5"/>
      <c r="R122" s="6"/>
    </row>
    <row r="123" spans="1:18" ht="36" customHeight="1" x14ac:dyDescent="0.25">
      <c r="A123" s="5"/>
      <c r="B123" s="6"/>
      <c r="C123" s="6"/>
      <c r="D123" s="6"/>
      <c r="E123" s="6"/>
      <c r="F123" s="6"/>
      <c r="G123" s="7"/>
      <c r="H123" s="6"/>
      <c r="I123" s="6"/>
      <c r="J123" s="8"/>
      <c r="K123" s="7"/>
      <c r="L123" s="7"/>
      <c r="M123" s="7"/>
      <c r="N123" s="7"/>
      <c r="O123" s="7"/>
      <c r="P123" s="6"/>
      <c r="Q123" s="5"/>
      <c r="R123" s="6"/>
    </row>
    <row r="124" spans="1:18" ht="36" customHeight="1" x14ac:dyDescent="0.25">
      <c r="A124" s="5"/>
      <c r="B124" s="6"/>
      <c r="C124" s="6"/>
      <c r="D124" s="6"/>
      <c r="E124" s="6"/>
      <c r="F124" s="6"/>
      <c r="G124" s="7"/>
      <c r="H124" s="6"/>
      <c r="I124" s="6"/>
      <c r="J124" s="8"/>
      <c r="K124" s="7"/>
      <c r="L124" s="7"/>
      <c r="M124" s="7"/>
      <c r="N124" s="7"/>
      <c r="O124" s="7"/>
      <c r="P124" s="6"/>
      <c r="Q124" s="5"/>
      <c r="R124" s="6"/>
    </row>
    <row r="125" spans="1:18" ht="36" customHeight="1" x14ac:dyDescent="0.25">
      <c r="A125" s="5"/>
      <c r="B125" s="6"/>
      <c r="C125" s="6"/>
      <c r="D125" s="6"/>
      <c r="E125" s="6"/>
      <c r="F125" s="6"/>
      <c r="G125" s="7"/>
      <c r="H125" s="6"/>
      <c r="I125" s="6"/>
      <c r="J125" s="8"/>
      <c r="K125" s="7"/>
      <c r="L125" s="7"/>
      <c r="M125" s="7"/>
      <c r="N125" s="7"/>
      <c r="O125" s="7"/>
      <c r="P125" s="6"/>
      <c r="Q125" s="5"/>
      <c r="R125" s="6"/>
    </row>
    <row r="126" spans="1:18" ht="36" customHeight="1" x14ac:dyDescent="0.25">
      <c r="A126" s="5"/>
      <c r="B126" s="6"/>
      <c r="C126" s="6"/>
      <c r="D126" s="6"/>
      <c r="E126" s="6"/>
      <c r="F126" s="6"/>
      <c r="G126" s="7"/>
      <c r="H126" s="6"/>
      <c r="I126" s="6"/>
      <c r="J126" s="8"/>
      <c r="K126" s="7"/>
      <c r="L126" s="7"/>
      <c r="M126" s="7"/>
      <c r="N126" s="7"/>
      <c r="O126" s="7"/>
      <c r="P126" s="6"/>
      <c r="Q126" s="5"/>
      <c r="R126" s="6"/>
    </row>
    <row r="127" spans="1:18" ht="36" customHeight="1" x14ac:dyDescent="0.25">
      <c r="A127" s="5"/>
      <c r="B127" s="6"/>
      <c r="C127" s="6"/>
      <c r="D127" s="6"/>
      <c r="E127" s="6"/>
      <c r="F127" s="6"/>
      <c r="G127" s="7"/>
      <c r="H127" s="6"/>
      <c r="I127" s="6"/>
      <c r="J127" s="8"/>
      <c r="K127" s="7"/>
      <c r="L127" s="7"/>
      <c r="M127" s="7"/>
      <c r="N127" s="7"/>
      <c r="O127" s="7"/>
      <c r="P127" s="6"/>
      <c r="Q127" s="5"/>
      <c r="R127" s="6"/>
    </row>
    <row r="128" spans="1:18" ht="36" customHeight="1" x14ac:dyDescent="0.25">
      <c r="A128" s="5"/>
      <c r="B128" s="6"/>
      <c r="C128" s="6"/>
      <c r="D128" s="6"/>
      <c r="E128" s="6"/>
      <c r="F128" s="6"/>
      <c r="G128" s="7"/>
      <c r="H128" s="6"/>
      <c r="I128" s="6"/>
      <c r="J128" s="8"/>
      <c r="K128" s="7"/>
      <c r="L128" s="7"/>
      <c r="M128" s="7"/>
      <c r="N128" s="7"/>
      <c r="O128" s="7"/>
      <c r="P128" s="6"/>
      <c r="Q128" s="5"/>
      <c r="R128" s="6"/>
    </row>
    <row r="129" spans="1:18" ht="36" customHeight="1" x14ac:dyDescent="0.25">
      <c r="A129" s="5"/>
      <c r="B129" s="6"/>
      <c r="C129" s="6"/>
      <c r="D129" s="6"/>
      <c r="E129" s="6"/>
      <c r="F129" s="6"/>
      <c r="G129" s="7"/>
      <c r="H129" s="6"/>
      <c r="I129" s="6"/>
      <c r="J129" s="8"/>
      <c r="K129" s="7"/>
      <c r="L129" s="7"/>
      <c r="M129" s="7"/>
      <c r="N129" s="7"/>
      <c r="O129" s="7"/>
      <c r="P129" s="6"/>
      <c r="Q129" s="5"/>
      <c r="R129" s="6"/>
    </row>
    <row r="130" spans="1:18" ht="36" customHeight="1" x14ac:dyDescent="0.25">
      <c r="A130" s="5"/>
      <c r="B130" s="6"/>
      <c r="C130" s="6"/>
      <c r="D130" s="6"/>
      <c r="E130" s="6"/>
      <c r="F130" s="6"/>
      <c r="G130" s="7"/>
      <c r="H130" s="6"/>
      <c r="I130" s="6"/>
      <c r="J130" s="8"/>
      <c r="K130" s="7"/>
      <c r="L130" s="7"/>
      <c r="M130" s="7"/>
      <c r="N130" s="7"/>
      <c r="O130" s="7"/>
      <c r="P130" s="6"/>
      <c r="Q130" s="5"/>
      <c r="R130" s="6"/>
    </row>
    <row r="131" spans="1:18" ht="36" customHeight="1" x14ac:dyDescent="0.25">
      <c r="A131" s="5"/>
      <c r="B131" s="6"/>
      <c r="C131" s="6"/>
      <c r="D131" s="6"/>
      <c r="E131" s="6"/>
      <c r="F131" s="6"/>
      <c r="G131" s="7"/>
      <c r="H131" s="6"/>
      <c r="I131" s="6"/>
      <c r="J131" s="8"/>
      <c r="K131" s="7"/>
      <c r="L131" s="7"/>
      <c r="M131" s="7"/>
      <c r="N131" s="7"/>
      <c r="O131" s="7"/>
      <c r="P131" s="6"/>
      <c r="Q131" s="5"/>
      <c r="R131" s="6"/>
    </row>
    <row r="132" spans="1:18" ht="36" customHeight="1" x14ac:dyDescent="0.25">
      <c r="A132" s="5"/>
      <c r="B132" s="6"/>
      <c r="C132" s="6"/>
      <c r="D132" s="6"/>
      <c r="E132" s="6"/>
      <c r="F132" s="6"/>
      <c r="G132" s="7"/>
      <c r="H132" s="6"/>
      <c r="I132" s="6"/>
      <c r="J132" s="8"/>
      <c r="K132" s="7"/>
      <c r="L132" s="7"/>
      <c r="M132" s="7"/>
      <c r="N132" s="7"/>
      <c r="O132" s="7"/>
      <c r="P132" s="6"/>
      <c r="Q132" s="5"/>
      <c r="R132" s="6"/>
    </row>
    <row r="133" spans="1:18" ht="36" customHeight="1" x14ac:dyDescent="0.25">
      <c r="A133" s="5"/>
      <c r="B133" s="6"/>
      <c r="C133" s="6"/>
      <c r="D133" s="6"/>
      <c r="E133" s="6"/>
      <c r="F133" s="6"/>
      <c r="G133" s="7"/>
      <c r="H133" s="6"/>
      <c r="I133" s="6"/>
      <c r="J133" s="8"/>
      <c r="K133" s="7"/>
      <c r="L133" s="7"/>
      <c r="M133" s="7"/>
      <c r="N133" s="7"/>
      <c r="O133" s="7"/>
      <c r="P133" s="6"/>
      <c r="Q133" s="5"/>
      <c r="R133" s="6"/>
    </row>
    <row r="134" spans="1:18" ht="36" customHeight="1" x14ac:dyDescent="0.25">
      <c r="A134" s="5"/>
      <c r="B134" s="6"/>
      <c r="C134" s="6"/>
      <c r="D134" s="6"/>
      <c r="E134" s="6"/>
      <c r="F134" s="6"/>
      <c r="G134" s="7"/>
      <c r="H134" s="6"/>
      <c r="I134" s="6"/>
      <c r="J134" s="8"/>
      <c r="K134" s="7"/>
      <c r="L134" s="7"/>
      <c r="M134" s="7"/>
      <c r="N134" s="7"/>
      <c r="O134" s="7"/>
      <c r="P134" s="6"/>
      <c r="Q134" s="5"/>
      <c r="R134" s="6"/>
    </row>
    <row r="135" spans="1:18" ht="36" customHeight="1" x14ac:dyDescent="0.25">
      <c r="A135" s="5"/>
      <c r="B135" s="6"/>
      <c r="C135" s="6"/>
      <c r="D135" s="6"/>
      <c r="E135" s="6"/>
      <c r="F135" s="6"/>
      <c r="G135" s="7"/>
      <c r="H135" s="6"/>
      <c r="I135" s="6"/>
      <c r="J135" s="8"/>
      <c r="K135" s="7"/>
      <c r="L135" s="7"/>
      <c r="M135" s="7"/>
      <c r="N135" s="7"/>
      <c r="O135" s="7"/>
      <c r="P135" s="6"/>
      <c r="Q135" s="5"/>
      <c r="R135" s="6"/>
    </row>
    <row r="136" spans="1:18" ht="36" customHeight="1" x14ac:dyDescent="0.25">
      <c r="A136" s="5"/>
      <c r="B136" s="6"/>
      <c r="C136" s="6"/>
      <c r="D136" s="6"/>
      <c r="E136" s="6"/>
      <c r="F136" s="6"/>
      <c r="G136" s="7"/>
      <c r="H136" s="6"/>
      <c r="I136" s="6"/>
      <c r="J136" s="8"/>
      <c r="K136" s="7"/>
      <c r="L136" s="7"/>
      <c r="M136" s="7"/>
      <c r="N136" s="7"/>
      <c r="O136" s="7"/>
      <c r="P136" s="6"/>
      <c r="Q136" s="5"/>
      <c r="R136" s="6"/>
    </row>
    <row r="137" spans="1:18" ht="36" customHeight="1" x14ac:dyDescent="0.25">
      <c r="A137" s="5"/>
      <c r="B137" s="6"/>
      <c r="C137" s="6"/>
      <c r="D137" s="6"/>
      <c r="E137" s="6"/>
      <c r="F137" s="6"/>
      <c r="G137" s="7"/>
      <c r="H137" s="6"/>
      <c r="I137" s="6"/>
      <c r="J137" s="8"/>
      <c r="K137" s="7"/>
      <c r="L137" s="7"/>
      <c r="M137" s="7"/>
      <c r="N137" s="7"/>
      <c r="O137" s="7"/>
      <c r="P137" s="6"/>
      <c r="Q137" s="5"/>
      <c r="R137" s="6"/>
    </row>
    <row r="138" spans="1:18" ht="36" customHeight="1" x14ac:dyDescent="0.25">
      <c r="A138" s="5"/>
      <c r="B138" s="6"/>
      <c r="C138" s="6"/>
      <c r="D138" s="6"/>
      <c r="E138" s="6"/>
      <c r="F138" s="6"/>
      <c r="G138" s="7"/>
      <c r="H138" s="6"/>
      <c r="I138" s="6"/>
      <c r="J138" s="8"/>
      <c r="K138" s="7"/>
      <c r="L138" s="7"/>
      <c r="M138" s="7"/>
      <c r="N138" s="7"/>
      <c r="O138" s="7"/>
      <c r="P138" s="6"/>
      <c r="Q138" s="5"/>
      <c r="R138" s="6"/>
    </row>
    <row r="139" spans="1:18" ht="36" customHeight="1" x14ac:dyDescent="0.25">
      <c r="A139" s="5"/>
      <c r="B139" s="6"/>
      <c r="C139" s="6"/>
      <c r="D139" s="6"/>
      <c r="E139" s="6"/>
      <c r="F139" s="6"/>
      <c r="G139" s="7"/>
      <c r="H139" s="6"/>
      <c r="I139" s="6"/>
      <c r="J139" s="8"/>
      <c r="K139" s="7"/>
      <c r="L139" s="7"/>
      <c r="M139" s="7"/>
      <c r="N139" s="7"/>
      <c r="O139" s="7"/>
      <c r="P139" s="6"/>
      <c r="Q139" s="5"/>
      <c r="R139" s="6"/>
    </row>
    <row r="140" spans="1:18" ht="36" customHeight="1" x14ac:dyDescent="0.25">
      <c r="A140" s="5"/>
      <c r="B140" s="6"/>
      <c r="C140" s="6"/>
      <c r="D140" s="6"/>
      <c r="E140" s="6"/>
      <c r="F140" s="6"/>
      <c r="G140" s="7"/>
      <c r="H140" s="6"/>
      <c r="I140" s="6"/>
      <c r="J140" s="8"/>
      <c r="K140" s="7"/>
      <c r="L140" s="7"/>
      <c r="M140" s="7"/>
      <c r="N140" s="7"/>
      <c r="O140" s="7"/>
      <c r="P140" s="6"/>
      <c r="Q140" s="5"/>
      <c r="R140" s="6"/>
    </row>
    <row r="141" spans="1:18" ht="36" customHeight="1" x14ac:dyDescent="0.25">
      <c r="A141" s="5"/>
      <c r="B141" s="6"/>
      <c r="C141" s="6"/>
      <c r="D141" s="6"/>
      <c r="E141" s="6"/>
      <c r="F141" s="6"/>
      <c r="G141" s="7"/>
      <c r="H141" s="6"/>
      <c r="I141" s="6"/>
      <c r="J141" s="8"/>
      <c r="K141" s="7"/>
      <c r="L141" s="7"/>
      <c r="M141" s="7"/>
      <c r="N141" s="7"/>
      <c r="O141" s="7"/>
      <c r="P141" s="6"/>
      <c r="Q141" s="5"/>
      <c r="R141" s="6"/>
    </row>
    <row r="142" spans="1:18" ht="36" customHeight="1" x14ac:dyDescent="0.25">
      <c r="A142" s="5"/>
      <c r="B142" s="6"/>
      <c r="C142" s="6"/>
      <c r="D142" s="6"/>
      <c r="E142" s="6"/>
      <c r="F142" s="6"/>
      <c r="G142" s="7"/>
      <c r="H142" s="6"/>
      <c r="I142" s="6"/>
      <c r="J142" s="8"/>
      <c r="K142" s="7"/>
      <c r="L142" s="7"/>
      <c r="M142" s="7"/>
      <c r="N142" s="7"/>
      <c r="O142" s="7"/>
      <c r="P142" s="6"/>
      <c r="Q142" s="5"/>
      <c r="R142" s="6"/>
    </row>
    <row r="143" spans="1:18" ht="36" customHeight="1" x14ac:dyDescent="0.25">
      <c r="A143" s="5"/>
      <c r="B143" s="6"/>
      <c r="C143" s="6"/>
      <c r="D143" s="6"/>
      <c r="E143" s="6"/>
      <c r="F143" s="6"/>
      <c r="G143" s="7"/>
      <c r="H143" s="6"/>
      <c r="I143" s="6"/>
      <c r="J143" s="8"/>
      <c r="K143" s="7"/>
      <c r="L143" s="7"/>
      <c r="M143" s="7"/>
      <c r="N143" s="7"/>
      <c r="O143" s="7"/>
      <c r="P143" s="6"/>
      <c r="Q143" s="5"/>
      <c r="R143" s="6"/>
    </row>
    <row r="144" spans="1:18" ht="36" customHeight="1" x14ac:dyDescent="0.25">
      <c r="A144" s="5"/>
      <c r="B144" s="6"/>
      <c r="C144" s="6"/>
      <c r="D144" s="6"/>
      <c r="E144" s="6"/>
      <c r="F144" s="6"/>
      <c r="G144" s="7"/>
      <c r="H144" s="6"/>
      <c r="I144" s="6"/>
      <c r="J144" s="8"/>
      <c r="K144" s="7"/>
      <c r="L144" s="7"/>
      <c r="M144" s="7"/>
      <c r="N144" s="7"/>
      <c r="O144" s="7"/>
      <c r="P144" s="6"/>
      <c r="Q144" s="5"/>
      <c r="R144" s="6"/>
    </row>
    <row r="145" spans="1:18" ht="36" customHeight="1" x14ac:dyDescent="0.25">
      <c r="A145" s="5"/>
      <c r="B145" s="6"/>
      <c r="C145" s="6"/>
      <c r="D145" s="6"/>
      <c r="E145" s="6"/>
      <c r="F145" s="6"/>
      <c r="G145" s="7"/>
      <c r="H145" s="6"/>
      <c r="I145" s="6"/>
      <c r="J145" s="8"/>
      <c r="K145" s="7"/>
      <c r="L145" s="7"/>
      <c r="M145" s="7"/>
      <c r="N145" s="7"/>
      <c r="O145" s="7"/>
      <c r="P145" s="6"/>
      <c r="Q145" s="5"/>
      <c r="R145" s="6"/>
    </row>
    <row r="146" spans="1:18" ht="36" customHeight="1" x14ac:dyDescent="0.25">
      <c r="A146" s="5"/>
      <c r="B146" s="6"/>
      <c r="C146" s="6"/>
      <c r="D146" s="6"/>
      <c r="E146" s="6"/>
      <c r="F146" s="6"/>
      <c r="G146" s="7"/>
      <c r="H146" s="6"/>
      <c r="I146" s="6"/>
      <c r="J146" s="8"/>
      <c r="K146" s="7"/>
      <c r="L146" s="7"/>
      <c r="M146" s="7"/>
      <c r="N146" s="7"/>
      <c r="O146" s="7"/>
      <c r="P146" s="6"/>
      <c r="Q146" s="5"/>
      <c r="R146" s="6"/>
    </row>
    <row r="147" spans="1:18" ht="36" customHeight="1" x14ac:dyDescent="0.25">
      <c r="A147" s="5"/>
      <c r="B147" s="6"/>
      <c r="C147" s="6"/>
      <c r="D147" s="6"/>
      <c r="E147" s="6"/>
      <c r="F147" s="6"/>
      <c r="G147" s="7"/>
      <c r="H147" s="6"/>
      <c r="I147" s="6"/>
      <c r="J147" s="8"/>
      <c r="K147" s="7"/>
      <c r="L147" s="7"/>
      <c r="M147" s="7"/>
      <c r="N147" s="7"/>
      <c r="O147" s="7"/>
      <c r="P147" s="6"/>
      <c r="Q147" s="5"/>
      <c r="R147" s="6"/>
    </row>
    <row r="148" spans="1:18" ht="36" customHeight="1" x14ac:dyDescent="0.25">
      <c r="A148" s="5"/>
      <c r="B148" s="6"/>
      <c r="C148" s="6"/>
      <c r="D148" s="6"/>
      <c r="E148" s="6"/>
      <c r="F148" s="6"/>
      <c r="G148" s="7"/>
      <c r="H148" s="6"/>
      <c r="I148" s="6"/>
      <c r="J148" s="8"/>
      <c r="K148" s="7"/>
      <c r="L148" s="7"/>
      <c r="M148" s="7"/>
      <c r="N148" s="7"/>
      <c r="O148" s="7"/>
      <c r="P148" s="6"/>
      <c r="Q148" s="5"/>
      <c r="R148" s="6"/>
    </row>
    <row r="149" spans="1:18" ht="36" customHeight="1" x14ac:dyDescent="0.25">
      <c r="A149" s="5"/>
      <c r="B149" s="6"/>
      <c r="C149" s="6"/>
      <c r="D149" s="6"/>
      <c r="E149" s="6"/>
      <c r="F149" s="6"/>
      <c r="G149" s="7"/>
      <c r="H149" s="6"/>
      <c r="I149" s="6"/>
      <c r="J149" s="8"/>
      <c r="K149" s="7"/>
      <c r="L149" s="7"/>
      <c r="M149" s="7"/>
      <c r="N149" s="7"/>
      <c r="O149" s="7"/>
      <c r="P149" s="6"/>
      <c r="Q149" s="5"/>
      <c r="R149" s="6"/>
    </row>
    <row r="150" spans="1:18" ht="36" customHeight="1" x14ac:dyDescent="0.25">
      <c r="A150" s="5"/>
      <c r="B150" s="6"/>
      <c r="C150" s="6"/>
      <c r="D150" s="6"/>
      <c r="E150" s="6"/>
      <c r="F150" s="6"/>
      <c r="G150" s="7"/>
      <c r="H150" s="6"/>
      <c r="I150" s="6"/>
      <c r="J150" s="8"/>
      <c r="K150" s="7"/>
      <c r="L150" s="7"/>
      <c r="M150" s="7"/>
      <c r="N150" s="7"/>
      <c r="O150" s="7"/>
      <c r="P150" s="6"/>
      <c r="Q150" s="5"/>
      <c r="R150" s="6"/>
    </row>
    <row r="151" spans="1:18" ht="36" customHeight="1" x14ac:dyDescent="0.25">
      <c r="A151" s="5"/>
      <c r="B151" s="6"/>
      <c r="C151" s="6"/>
      <c r="D151" s="6"/>
      <c r="E151" s="6"/>
      <c r="F151" s="6"/>
      <c r="G151" s="7"/>
      <c r="H151" s="6"/>
      <c r="I151" s="6"/>
      <c r="J151" s="8"/>
      <c r="K151" s="7"/>
      <c r="L151" s="7"/>
      <c r="M151" s="7"/>
      <c r="N151" s="7"/>
      <c r="O151" s="7"/>
      <c r="P151" s="6"/>
      <c r="Q151" s="5"/>
      <c r="R151" s="6"/>
    </row>
    <row r="152" spans="1:18" ht="36" customHeight="1" x14ac:dyDescent="0.25">
      <c r="A152" s="5"/>
      <c r="B152" s="6"/>
      <c r="C152" s="6"/>
      <c r="D152" s="6"/>
      <c r="E152" s="6"/>
      <c r="F152" s="6"/>
      <c r="G152" s="7"/>
      <c r="H152" s="6"/>
      <c r="I152" s="6"/>
      <c r="J152" s="8"/>
      <c r="K152" s="7"/>
      <c r="L152" s="7"/>
      <c r="M152" s="7"/>
      <c r="N152" s="7"/>
      <c r="O152" s="7"/>
      <c r="P152" s="6"/>
      <c r="Q152" s="5"/>
      <c r="R152" s="6"/>
    </row>
    <row r="153" spans="1:18" ht="36" customHeight="1" x14ac:dyDescent="0.25">
      <c r="A153" s="5"/>
      <c r="B153" s="6"/>
      <c r="C153" s="6"/>
      <c r="D153" s="6"/>
      <c r="E153" s="6"/>
      <c r="F153" s="6"/>
      <c r="G153" s="7"/>
      <c r="H153" s="6"/>
      <c r="I153" s="6"/>
      <c r="J153" s="8"/>
      <c r="K153" s="7"/>
      <c r="L153" s="7"/>
      <c r="M153" s="7"/>
      <c r="N153" s="7"/>
      <c r="O153" s="7"/>
      <c r="P153" s="6"/>
      <c r="Q153" s="5"/>
      <c r="R153" s="6"/>
    </row>
    <row r="154" spans="1:18" ht="36" customHeight="1" x14ac:dyDescent="0.25">
      <c r="A154" s="5"/>
      <c r="B154" s="6"/>
      <c r="C154" s="6"/>
      <c r="D154" s="6"/>
      <c r="E154" s="6"/>
      <c r="F154" s="6"/>
      <c r="G154" s="7"/>
      <c r="H154" s="6"/>
      <c r="I154" s="6"/>
      <c r="J154" s="8"/>
      <c r="K154" s="7"/>
      <c r="L154" s="7"/>
      <c r="M154" s="7"/>
      <c r="N154" s="7"/>
      <c r="O154" s="7"/>
      <c r="P154" s="6"/>
      <c r="Q154" s="5"/>
      <c r="R154" s="6"/>
    </row>
    <row r="155" spans="1:18" ht="36" customHeight="1" x14ac:dyDescent="0.25">
      <c r="A155" s="5"/>
      <c r="B155" s="6"/>
      <c r="C155" s="6"/>
      <c r="D155" s="6"/>
      <c r="E155" s="6"/>
      <c r="F155" s="6"/>
      <c r="G155" s="7"/>
      <c r="H155" s="6"/>
      <c r="I155" s="6"/>
      <c r="J155" s="8"/>
      <c r="K155" s="7"/>
      <c r="L155" s="7"/>
      <c r="M155" s="7"/>
      <c r="N155" s="7"/>
      <c r="O155" s="7"/>
      <c r="P155" s="6"/>
      <c r="Q155" s="5"/>
      <c r="R155" s="6"/>
    </row>
    <row r="156" spans="1:18" ht="36" customHeight="1" x14ac:dyDescent="0.25">
      <c r="A156" s="5"/>
      <c r="B156" s="6"/>
      <c r="C156" s="6"/>
      <c r="D156" s="6"/>
      <c r="E156" s="6"/>
      <c r="F156" s="6"/>
      <c r="G156" s="7"/>
      <c r="H156" s="6"/>
      <c r="I156" s="6"/>
      <c r="J156" s="8"/>
      <c r="K156" s="7"/>
      <c r="L156" s="7"/>
      <c r="M156" s="7"/>
      <c r="N156" s="7"/>
      <c r="O156" s="7"/>
      <c r="P156" s="6"/>
      <c r="Q156" s="5"/>
      <c r="R156" s="6"/>
    </row>
    <row r="157" spans="1:18" ht="36" customHeight="1" x14ac:dyDescent="0.25">
      <c r="A157" s="5"/>
      <c r="B157" s="6"/>
      <c r="C157" s="6"/>
      <c r="D157" s="6"/>
      <c r="E157" s="6"/>
      <c r="F157" s="6"/>
      <c r="G157" s="7"/>
      <c r="H157" s="6"/>
      <c r="I157" s="6"/>
      <c r="J157" s="8"/>
      <c r="K157" s="7"/>
      <c r="L157" s="7"/>
      <c r="M157" s="7"/>
      <c r="N157" s="7"/>
      <c r="O157" s="7"/>
      <c r="P157" s="6"/>
      <c r="Q157" s="5"/>
      <c r="R157" s="6"/>
    </row>
    <row r="158" spans="1:18" ht="36" customHeight="1" x14ac:dyDescent="0.25">
      <c r="A158" s="5"/>
      <c r="B158" s="6"/>
      <c r="C158" s="6"/>
      <c r="D158" s="6"/>
      <c r="E158" s="6"/>
      <c r="F158" s="6"/>
      <c r="G158" s="7"/>
      <c r="H158" s="6"/>
      <c r="I158" s="6"/>
      <c r="J158" s="8"/>
      <c r="K158" s="7"/>
      <c r="L158" s="7"/>
      <c r="M158" s="7"/>
      <c r="N158" s="7"/>
      <c r="O158" s="7"/>
      <c r="P158" s="6"/>
      <c r="Q158" s="5"/>
      <c r="R158" s="6"/>
    </row>
    <row r="159" spans="1:18" ht="36" customHeight="1" x14ac:dyDescent="0.25">
      <c r="A159" s="5"/>
      <c r="B159" s="6"/>
      <c r="C159" s="6"/>
      <c r="D159" s="6"/>
      <c r="E159" s="6"/>
      <c r="F159" s="6"/>
      <c r="G159" s="7"/>
      <c r="H159" s="6"/>
      <c r="I159" s="6"/>
      <c r="J159" s="8"/>
      <c r="K159" s="7"/>
      <c r="L159" s="7"/>
      <c r="M159" s="7"/>
      <c r="N159" s="7"/>
      <c r="O159" s="7"/>
      <c r="P159" s="6"/>
      <c r="Q159" s="5"/>
      <c r="R159" s="6"/>
    </row>
    <row r="160" spans="1:18" ht="36" customHeight="1" x14ac:dyDescent="0.25">
      <c r="A160" s="5"/>
      <c r="B160" s="6"/>
      <c r="C160" s="6"/>
      <c r="D160" s="6"/>
      <c r="E160" s="6"/>
      <c r="F160" s="6"/>
      <c r="G160" s="7"/>
      <c r="H160" s="6"/>
      <c r="I160" s="6"/>
      <c r="J160" s="8"/>
      <c r="K160" s="7"/>
      <c r="L160" s="7"/>
      <c r="M160" s="7"/>
      <c r="N160" s="7"/>
      <c r="O160" s="7"/>
      <c r="P160" s="6"/>
      <c r="Q160" s="5"/>
      <c r="R160" s="6"/>
    </row>
    <row r="161" spans="1:18" ht="36" customHeight="1" x14ac:dyDescent="0.25">
      <c r="A161" s="5"/>
      <c r="B161" s="6"/>
      <c r="C161" s="6"/>
      <c r="D161" s="6"/>
      <c r="E161" s="6"/>
      <c r="F161" s="6"/>
      <c r="G161" s="7"/>
      <c r="H161" s="6"/>
      <c r="I161" s="6"/>
      <c r="J161" s="8"/>
      <c r="K161" s="7"/>
      <c r="L161" s="7"/>
      <c r="M161" s="7"/>
      <c r="N161" s="7"/>
      <c r="O161" s="7"/>
      <c r="P161" s="6"/>
      <c r="Q161" s="5"/>
      <c r="R161" s="6"/>
    </row>
    <row r="162" spans="1:18" ht="36" customHeight="1" x14ac:dyDescent="0.25">
      <c r="A162" s="5"/>
      <c r="B162" s="6"/>
      <c r="C162" s="6"/>
      <c r="D162" s="6"/>
      <c r="E162" s="6"/>
      <c r="F162" s="6"/>
      <c r="G162" s="7"/>
      <c r="H162" s="6"/>
      <c r="I162" s="6"/>
      <c r="J162" s="8"/>
      <c r="K162" s="7"/>
      <c r="L162" s="7"/>
      <c r="M162" s="7"/>
      <c r="N162" s="7"/>
      <c r="O162" s="7"/>
      <c r="P162" s="6"/>
      <c r="Q162" s="5"/>
      <c r="R162" s="6"/>
    </row>
    <row r="163" spans="1:18" ht="36" customHeight="1" x14ac:dyDescent="0.25">
      <c r="A163" s="5"/>
      <c r="B163" s="6"/>
      <c r="C163" s="6"/>
      <c r="D163" s="6"/>
      <c r="E163" s="6"/>
      <c r="F163" s="6"/>
      <c r="G163" s="7"/>
      <c r="H163" s="6"/>
      <c r="I163" s="6"/>
      <c r="J163" s="8"/>
      <c r="K163" s="7"/>
      <c r="L163" s="7"/>
      <c r="M163" s="7"/>
      <c r="N163" s="7"/>
      <c r="O163" s="7"/>
      <c r="P163" s="6"/>
      <c r="Q163" s="5"/>
      <c r="R163" s="6"/>
    </row>
    <row r="164" spans="1:18" ht="36" customHeight="1" x14ac:dyDescent="0.25">
      <c r="A164" s="5"/>
      <c r="B164" s="6"/>
      <c r="C164" s="6"/>
      <c r="D164" s="6"/>
      <c r="E164" s="6"/>
      <c r="F164" s="6"/>
      <c r="G164" s="7"/>
      <c r="H164" s="6"/>
      <c r="I164" s="6"/>
      <c r="J164" s="8"/>
      <c r="K164" s="7"/>
      <c r="L164" s="7"/>
      <c r="M164" s="7"/>
      <c r="N164" s="7"/>
      <c r="O164" s="7"/>
      <c r="P164" s="6"/>
      <c r="Q164" s="5"/>
      <c r="R164" s="6"/>
    </row>
    <row r="165" spans="1:18" ht="36" customHeight="1" x14ac:dyDescent="0.25">
      <c r="A165" s="5"/>
      <c r="B165" s="6"/>
      <c r="C165" s="6"/>
      <c r="D165" s="6"/>
      <c r="E165" s="6"/>
      <c r="F165" s="6"/>
      <c r="G165" s="7"/>
      <c r="H165" s="6"/>
      <c r="I165" s="6"/>
      <c r="J165" s="8"/>
      <c r="K165" s="7"/>
      <c r="L165" s="7"/>
      <c r="M165" s="7"/>
      <c r="N165" s="7"/>
      <c r="O165" s="7"/>
      <c r="P165" s="6"/>
      <c r="Q165" s="5"/>
      <c r="R165" s="6"/>
    </row>
    <row r="166" spans="1:18" ht="36" customHeight="1" x14ac:dyDescent="0.25">
      <c r="A166" s="5"/>
      <c r="B166" s="6"/>
      <c r="C166" s="6"/>
      <c r="D166" s="6"/>
      <c r="E166" s="6"/>
      <c r="F166" s="6"/>
      <c r="G166" s="7"/>
      <c r="H166" s="6"/>
      <c r="I166" s="6"/>
      <c r="J166" s="8"/>
      <c r="K166" s="7"/>
      <c r="L166" s="7"/>
      <c r="M166" s="7"/>
      <c r="N166" s="7"/>
      <c r="O166" s="7"/>
      <c r="P166" s="6"/>
      <c r="Q166" s="5"/>
      <c r="R166" s="6"/>
    </row>
    <row r="167" spans="1:18" ht="36" customHeight="1" x14ac:dyDescent="0.25">
      <c r="A167" s="5"/>
      <c r="B167" s="6"/>
      <c r="C167" s="6"/>
      <c r="D167" s="6"/>
      <c r="E167" s="6"/>
      <c r="F167" s="6"/>
      <c r="G167" s="7"/>
      <c r="H167" s="6"/>
      <c r="I167" s="6"/>
      <c r="J167" s="8"/>
      <c r="K167" s="7"/>
      <c r="L167" s="7"/>
      <c r="M167" s="7"/>
      <c r="N167" s="7"/>
      <c r="O167" s="7"/>
      <c r="P167" s="6"/>
      <c r="Q167" s="5"/>
      <c r="R167" s="6"/>
    </row>
    <row r="168" spans="1:18" ht="36" customHeight="1" x14ac:dyDescent="0.25">
      <c r="A168" s="5"/>
      <c r="B168" s="6"/>
      <c r="C168" s="6"/>
      <c r="D168" s="6"/>
      <c r="E168" s="6"/>
      <c r="F168" s="6"/>
      <c r="G168" s="7"/>
      <c r="H168" s="6"/>
      <c r="I168" s="6"/>
      <c r="J168" s="8"/>
      <c r="K168" s="7"/>
      <c r="L168" s="7"/>
      <c r="M168" s="7"/>
      <c r="N168" s="7"/>
      <c r="O168" s="7"/>
      <c r="P168" s="6"/>
      <c r="Q168" s="5"/>
      <c r="R168" s="6"/>
    </row>
    <row r="169" spans="1:18" ht="36" customHeight="1" x14ac:dyDescent="0.25">
      <c r="A169" s="5"/>
      <c r="B169" s="6"/>
      <c r="C169" s="6"/>
      <c r="D169" s="6"/>
      <c r="E169" s="6"/>
      <c r="F169" s="6"/>
      <c r="G169" s="7"/>
      <c r="H169" s="6"/>
      <c r="I169" s="6"/>
      <c r="J169" s="8"/>
      <c r="K169" s="7"/>
      <c r="L169" s="7"/>
      <c r="M169" s="7"/>
      <c r="N169" s="7"/>
      <c r="O169" s="7"/>
      <c r="P169" s="6"/>
      <c r="Q169" s="5"/>
      <c r="R169" s="6"/>
    </row>
    <row r="170" spans="1:18" ht="36" customHeight="1" x14ac:dyDescent="0.25">
      <c r="A170" s="5"/>
      <c r="B170" s="6"/>
      <c r="C170" s="6"/>
      <c r="D170" s="6"/>
      <c r="E170" s="6"/>
      <c r="F170" s="6"/>
      <c r="G170" s="7"/>
      <c r="H170" s="6"/>
      <c r="I170" s="6"/>
      <c r="J170" s="8"/>
      <c r="K170" s="7"/>
      <c r="L170" s="7"/>
      <c r="M170" s="7"/>
      <c r="N170" s="7"/>
      <c r="O170" s="7"/>
      <c r="P170" s="6"/>
      <c r="Q170" s="5"/>
      <c r="R170" s="6"/>
    </row>
    <row r="171" spans="1:18" ht="36" customHeight="1" x14ac:dyDescent="0.25">
      <c r="A171" s="5"/>
      <c r="B171" s="6"/>
      <c r="C171" s="6"/>
      <c r="D171" s="6"/>
      <c r="E171" s="6"/>
      <c r="F171" s="6"/>
      <c r="G171" s="7"/>
      <c r="H171" s="6"/>
      <c r="I171" s="6"/>
      <c r="J171" s="8"/>
      <c r="K171" s="7"/>
      <c r="L171" s="7"/>
      <c r="M171" s="7"/>
      <c r="N171" s="7"/>
      <c r="O171" s="7"/>
      <c r="P171" s="6"/>
      <c r="Q171" s="5"/>
      <c r="R171" s="6"/>
    </row>
    <row r="172" spans="1:18" ht="36" customHeight="1" x14ac:dyDescent="0.25">
      <c r="A172" s="5"/>
      <c r="B172" s="6"/>
      <c r="C172" s="6"/>
      <c r="D172" s="6"/>
      <c r="E172" s="6"/>
      <c r="F172" s="6"/>
      <c r="G172" s="7"/>
      <c r="H172" s="6"/>
      <c r="I172" s="6"/>
      <c r="J172" s="8"/>
      <c r="K172" s="7"/>
      <c r="L172" s="7"/>
      <c r="M172" s="7"/>
      <c r="N172" s="7"/>
      <c r="O172" s="7"/>
      <c r="P172" s="6"/>
      <c r="Q172" s="5"/>
      <c r="R172" s="6"/>
    </row>
    <row r="173" spans="1:18" ht="36" customHeight="1" x14ac:dyDescent="0.25">
      <c r="A173" s="5"/>
      <c r="B173" s="6"/>
      <c r="C173" s="6"/>
      <c r="D173" s="6"/>
      <c r="E173" s="6"/>
      <c r="F173" s="6"/>
      <c r="G173" s="7"/>
      <c r="H173" s="6"/>
      <c r="I173" s="6"/>
      <c r="J173" s="8"/>
      <c r="K173" s="7"/>
      <c r="L173" s="7"/>
      <c r="M173" s="7"/>
      <c r="N173" s="7"/>
      <c r="O173" s="7"/>
      <c r="P173" s="6"/>
      <c r="Q173" s="5"/>
      <c r="R173" s="6"/>
    </row>
    <row r="174" spans="1:18" ht="36" customHeight="1" x14ac:dyDescent="0.25">
      <c r="A174" s="5"/>
      <c r="B174" s="6"/>
      <c r="C174" s="6"/>
      <c r="D174" s="6"/>
      <c r="E174" s="6"/>
      <c r="F174" s="6"/>
      <c r="G174" s="7"/>
      <c r="H174" s="6"/>
      <c r="I174" s="6"/>
      <c r="J174" s="8"/>
      <c r="K174" s="7"/>
      <c r="L174" s="7"/>
      <c r="M174" s="7"/>
      <c r="N174" s="7"/>
      <c r="O174" s="7"/>
      <c r="P174" s="6"/>
      <c r="Q174" s="5"/>
      <c r="R174" s="6"/>
    </row>
    <row r="175" spans="1:18" ht="36" customHeight="1" x14ac:dyDescent="0.25">
      <c r="A175" s="5"/>
      <c r="B175" s="6"/>
      <c r="C175" s="6"/>
      <c r="D175" s="6"/>
      <c r="E175" s="6"/>
      <c r="F175" s="6"/>
      <c r="G175" s="7"/>
      <c r="H175" s="6"/>
      <c r="I175" s="6"/>
      <c r="J175" s="8"/>
      <c r="K175" s="7"/>
      <c r="L175" s="7"/>
      <c r="M175" s="7"/>
      <c r="N175" s="7"/>
      <c r="O175" s="7"/>
      <c r="P175" s="6"/>
      <c r="Q175" s="5"/>
      <c r="R175" s="6"/>
    </row>
    <row r="176" spans="1:18" ht="36" customHeight="1" x14ac:dyDescent="0.25">
      <c r="A176" s="5"/>
      <c r="B176" s="6"/>
      <c r="C176" s="6"/>
      <c r="D176" s="6"/>
      <c r="E176" s="6"/>
      <c r="F176" s="6"/>
      <c r="G176" s="7"/>
      <c r="H176" s="6"/>
      <c r="I176" s="6"/>
      <c r="J176" s="8"/>
      <c r="K176" s="7"/>
      <c r="L176" s="7"/>
      <c r="M176" s="7"/>
      <c r="N176" s="7"/>
      <c r="O176" s="7"/>
      <c r="P176" s="6"/>
      <c r="Q176" s="5"/>
      <c r="R176" s="6"/>
    </row>
    <row r="177" spans="1:18" ht="36" customHeight="1" x14ac:dyDescent="0.25">
      <c r="A177" s="5"/>
      <c r="B177" s="6"/>
      <c r="C177" s="6"/>
      <c r="D177" s="6"/>
      <c r="E177" s="6"/>
      <c r="F177" s="6"/>
      <c r="G177" s="7"/>
      <c r="H177" s="6"/>
      <c r="I177" s="6"/>
      <c r="J177" s="8"/>
      <c r="K177" s="7"/>
      <c r="L177" s="7"/>
      <c r="M177" s="7"/>
      <c r="N177" s="7"/>
      <c r="O177" s="7"/>
      <c r="P177" s="6"/>
      <c r="Q177" s="5"/>
      <c r="R177" s="6"/>
    </row>
    <row r="178" spans="1:18" ht="36" customHeight="1" x14ac:dyDescent="0.25">
      <c r="A178" s="5"/>
      <c r="B178" s="6"/>
      <c r="C178" s="6"/>
      <c r="D178" s="6"/>
      <c r="E178" s="6"/>
      <c r="F178" s="6"/>
      <c r="G178" s="7"/>
      <c r="H178" s="6"/>
      <c r="I178" s="6"/>
      <c r="J178" s="8"/>
      <c r="K178" s="7"/>
      <c r="L178" s="7"/>
      <c r="M178" s="7"/>
      <c r="N178" s="7"/>
      <c r="O178" s="7"/>
      <c r="P178" s="6"/>
      <c r="Q178" s="5"/>
      <c r="R178" s="6"/>
    </row>
    <row r="179" spans="1:18" ht="36" customHeight="1" x14ac:dyDescent="0.25">
      <c r="A179" s="5"/>
      <c r="B179" s="6"/>
      <c r="C179" s="6"/>
      <c r="D179" s="6"/>
      <c r="E179" s="6"/>
      <c r="F179" s="6"/>
      <c r="G179" s="7"/>
      <c r="H179" s="6"/>
      <c r="I179" s="6"/>
      <c r="J179" s="8"/>
      <c r="K179" s="7"/>
      <c r="L179" s="7"/>
      <c r="M179" s="7"/>
      <c r="N179" s="7"/>
      <c r="O179" s="7"/>
      <c r="P179" s="6"/>
      <c r="Q179" s="5"/>
      <c r="R179" s="6"/>
    </row>
    <row r="180" spans="1:18" ht="36" customHeight="1" x14ac:dyDescent="0.25">
      <c r="A180" s="5"/>
      <c r="B180" s="6"/>
      <c r="C180" s="6"/>
      <c r="D180" s="6"/>
      <c r="E180" s="6"/>
      <c r="F180" s="6"/>
      <c r="G180" s="7"/>
      <c r="H180" s="6"/>
      <c r="I180" s="6"/>
      <c r="J180" s="8"/>
      <c r="K180" s="7"/>
      <c r="L180" s="7"/>
      <c r="M180" s="7"/>
      <c r="N180" s="7"/>
      <c r="O180" s="7"/>
      <c r="P180" s="6"/>
      <c r="Q180" s="5"/>
      <c r="R180" s="6"/>
    </row>
    <row r="181" spans="1:18" ht="36" customHeight="1" x14ac:dyDescent="0.25">
      <c r="A181" s="5"/>
      <c r="B181" s="6"/>
      <c r="C181" s="6"/>
      <c r="D181" s="6"/>
      <c r="E181" s="6"/>
      <c r="F181" s="6"/>
      <c r="G181" s="7"/>
      <c r="H181" s="6"/>
      <c r="I181" s="6"/>
      <c r="J181" s="8"/>
      <c r="K181" s="7"/>
      <c r="L181" s="7"/>
      <c r="M181" s="7"/>
      <c r="N181" s="7"/>
      <c r="O181" s="7"/>
      <c r="P181" s="6"/>
      <c r="Q181" s="5"/>
      <c r="R181" s="6"/>
    </row>
    <row r="182" spans="1:18" ht="36" customHeight="1" x14ac:dyDescent="0.25">
      <c r="A182" s="5"/>
      <c r="B182" s="6"/>
      <c r="C182" s="6"/>
      <c r="D182" s="6"/>
      <c r="E182" s="6"/>
      <c r="F182" s="6"/>
      <c r="G182" s="7"/>
      <c r="H182" s="6"/>
      <c r="I182" s="6"/>
      <c r="J182" s="8"/>
      <c r="K182" s="7"/>
      <c r="L182" s="7"/>
      <c r="M182" s="7"/>
      <c r="N182" s="7"/>
      <c r="O182" s="7"/>
      <c r="P182" s="6"/>
      <c r="Q182" s="5"/>
      <c r="R182" s="6"/>
    </row>
    <row r="183" spans="1:18" ht="36" customHeight="1" x14ac:dyDescent="0.25">
      <c r="A183" s="5"/>
      <c r="B183" s="6"/>
      <c r="C183" s="6"/>
      <c r="D183" s="6"/>
      <c r="E183" s="6"/>
      <c r="F183" s="6"/>
      <c r="G183" s="7"/>
      <c r="H183" s="6"/>
      <c r="I183" s="6"/>
      <c r="J183" s="8"/>
      <c r="K183" s="7"/>
      <c r="L183" s="7"/>
      <c r="M183" s="7"/>
      <c r="N183" s="7"/>
      <c r="O183" s="7"/>
      <c r="P183" s="6"/>
      <c r="Q183" s="5"/>
      <c r="R183" s="6"/>
    </row>
    <row r="184" spans="1:18" ht="36" customHeight="1" x14ac:dyDescent="0.25">
      <c r="A184" s="5"/>
      <c r="B184" s="6"/>
      <c r="C184" s="6"/>
      <c r="D184" s="6"/>
      <c r="E184" s="6"/>
      <c r="F184" s="6"/>
      <c r="G184" s="7"/>
      <c r="H184" s="6"/>
      <c r="I184" s="6"/>
      <c r="J184" s="8"/>
      <c r="K184" s="7"/>
      <c r="L184" s="7"/>
      <c r="M184" s="7"/>
      <c r="N184" s="7"/>
      <c r="O184" s="7"/>
      <c r="P184" s="6"/>
      <c r="Q184" s="5"/>
      <c r="R184" s="6"/>
    </row>
    <row r="185" spans="1:18" ht="36" customHeight="1" x14ac:dyDescent="0.25">
      <c r="A185" s="5"/>
      <c r="B185" s="6"/>
      <c r="C185" s="6"/>
      <c r="D185" s="6"/>
      <c r="E185" s="6"/>
      <c r="F185" s="6"/>
      <c r="G185" s="7"/>
      <c r="H185" s="6"/>
      <c r="I185" s="6"/>
      <c r="J185" s="8"/>
      <c r="K185" s="7"/>
      <c r="L185" s="7"/>
      <c r="M185" s="7"/>
      <c r="N185" s="7"/>
      <c r="O185" s="7"/>
      <c r="P185" s="6"/>
      <c r="Q185" s="5"/>
      <c r="R185" s="6"/>
    </row>
    <row r="186" spans="1:18" ht="36" customHeight="1" x14ac:dyDescent="0.25">
      <c r="A186" s="5"/>
      <c r="B186" s="6"/>
      <c r="C186" s="6"/>
      <c r="D186" s="6"/>
      <c r="E186" s="6"/>
      <c r="F186" s="6"/>
      <c r="G186" s="7"/>
      <c r="H186" s="6"/>
      <c r="I186" s="6"/>
      <c r="J186" s="8"/>
      <c r="K186" s="7"/>
      <c r="L186" s="7"/>
      <c r="M186" s="7"/>
      <c r="N186" s="7"/>
      <c r="O186" s="7"/>
      <c r="P186" s="6"/>
      <c r="Q186" s="5"/>
      <c r="R186" s="6"/>
    </row>
    <row r="187" spans="1:18" ht="36" customHeight="1" x14ac:dyDescent="0.25">
      <c r="A187" s="5"/>
      <c r="B187" s="6"/>
      <c r="C187" s="6"/>
      <c r="D187" s="6"/>
      <c r="E187" s="6"/>
      <c r="F187" s="6"/>
      <c r="G187" s="7"/>
      <c r="H187" s="6"/>
      <c r="I187" s="6"/>
      <c r="J187" s="8"/>
      <c r="K187" s="7"/>
      <c r="L187" s="7"/>
      <c r="M187" s="7"/>
      <c r="N187" s="7"/>
      <c r="O187" s="7"/>
      <c r="P187" s="6"/>
      <c r="Q187" s="5"/>
      <c r="R187" s="6"/>
    </row>
    <row r="188" spans="1:18" ht="36" customHeight="1" x14ac:dyDescent="0.25">
      <c r="A188" s="5"/>
      <c r="B188" s="6"/>
      <c r="C188" s="6"/>
      <c r="D188" s="6"/>
      <c r="E188" s="6"/>
      <c r="F188" s="6"/>
      <c r="G188" s="7"/>
      <c r="H188" s="6"/>
      <c r="I188" s="6"/>
      <c r="J188" s="8"/>
      <c r="K188" s="7"/>
      <c r="L188" s="7"/>
      <c r="M188" s="7"/>
      <c r="N188" s="7"/>
      <c r="O188" s="7"/>
      <c r="P188" s="6"/>
      <c r="Q188" s="5"/>
      <c r="R188" s="6"/>
    </row>
    <row r="189" spans="1:18" ht="36" customHeight="1" x14ac:dyDescent="0.25">
      <c r="A189" s="5"/>
      <c r="B189" s="6"/>
      <c r="C189" s="6"/>
      <c r="D189" s="6"/>
      <c r="E189" s="6"/>
      <c r="F189" s="6"/>
      <c r="G189" s="7"/>
      <c r="H189" s="6"/>
      <c r="I189" s="6"/>
      <c r="J189" s="8"/>
      <c r="K189" s="7"/>
      <c r="L189" s="7"/>
      <c r="M189" s="7"/>
      <c r="N189" s="7"/>
      <c r="O189" s="7"/>
      <c r="P189" s="6"/>
      <c r="Q189" s="5"/>
      <c r="R189" s="6"/>
    </row>
    <row r="190" spans="1:18" ht="36" customHeight="1" x14ac:dyDescent="0.25">
      <c r="A190" s="5"/>
      <c r="B190" s="6"/>
      <c r="C190" s="6"/>
      <c r="D190" s="6"/>
      <c r="E190" s="6"/>
      <c r="F190" s="6"/>
      <c r="G190" s="7"/>
      <c r="H190" s="6"/>
      <c r="I190" s="6"/>
      <c r="J190" s="8"/>
      <c r="K190" s="7"/>
      <c r="L190" s="7"/>
      <c r="M190" s="7"/>
      <c r="N190" s="7"/>
      <c r="O190" s="7"/>
      <c r="P190" s="6"/>
      <c r="Q190" s="5"/>
      <c r="R190" s="6"/>
    </row>
    <row r="191" spans="1:18" ht="36" customHeight="1" x14ac:dyDescent="0.25">
      <c r="A191" s="5"/>
      <c r="B191" s="6"/>
      <c r="C191" s="6"/>
      <c r="D191" s="6"/>
      <c r="E191" s="6"/>
      <c r="F191" s="6"/>
      <c r="G191" s="7"/>
      <c r="H191" s="6"/>
      <c r="I191" s="6"/>
      <c r="J191" s="8"/>
      <c r="K191" s="7"/>
      <c r="L191" s="7"/>
      <c r="M191" s="7"/>
      <c r="N191" s="7"/>
      <c r="O191" s="7"/>
      <c r="P191" s="6"/>
      <c r="Q191" s="5"/>
      <c r="R191" s="6"/>
    </row>
    <row r="192" spans="1:18" ht="36" customHeight="1" x14ac:dyDescent="0.25">
      <c r="A192" s="5"/>
      <c r="B192" s="6"/>
      <c r="C192" s="6"/>
      <c r="D192" s="6"/>
      <c r="E192" s="6"/>
      <c r="F192" s="6"/>
      <c r="G192" s="7"/>
      <c r="H192" s="6"/>
      <c r="I192" s="6"/>
      <c r="J192" s="8"/>
      <c r="K192" s="7"/>
      <c r="L192" s="7"/>
      <c r="M192" s="7"/>
      <c r="N192" s="7"/>
      <c r="O192" s="7"/>
      <c r="P192" s="6"/>
      <c r="Q192" s="5"/>
      <c r="R192" s="6"/>
    </row>
    <row r="193" spans="1:18" ht="36" customHeight="1" x14ac:dyDescent="0.25">
      <c r="A193" s="5"/>
      <c r="B193" s="6"/>
      <c r="C193" s="6"/>
      <c r="D193" s="6"/>
      <c r="E193" s="6"/>
      <c r="F193" s="6"/>
      <c r="G193" s="7"/>
      <c r="H193" s="6"/>
      <c r="I193" s="6"/>
      <c r="J193" s="8"/>
      <c r="K193" s="7"/>
      <c r="L193" s="7"/>
      <c r="M193" s="7"/>
      <c r="N193" s="7"/>
      <c r="O193" s="7"/>
      <c r="P193" s="6"/>
      <c r="Q193" s="5"/>
      <c r="R193" s="6"/>
    </row>
    <row r="194" spans="1:18" ht="36" customHeight="1" x14ac:dyDescent="0.25">
      <c r="A194" s="5"/>
      <c r="B194" s="6"/>
      <c r="C194" s="6"/>
      <c r="D194" s="6"/>
      <c r="E194" s="6"/>
      <c r="F194" s="6"/>
      <c r="G194" s="7"/>
      <c r="H194" s="6"/>
      <c r="I194" s="6"/>
      <c r="J194" s="8"/>
      <c r="K194" s="7"/>
      <c r="L194" s="7"/>
      <c r="M194" s="7"/>
      <c r="N194" s="7"/>
      <c r="O194" s="7"/>
      <c r="P194" s="6"/>
      <c r="Q194" s="5"/>
      <c r="R194" s="6"/>
    </row>
    <row r="195" spans="1:18" ht="36" customHeight="1" x14ac:dyDescent="0.25">
      <c r="A195" s="5"/>
      <c r="B195" s="6"/>
      <c r="C195" s="6"/>
      <c r="D195" s="6"/>
      <c r="E195" s="6"/>
      <c r="F195" s="6"/>
      <c r="G195" s="7"/>
      <c r="H195" s="6"/>
      <c r="I195" s="6"/>
      <c r="J195" s="8"/>
      <c r="K195" s="7"/>
      <c r="L195" s="7"/>
      <c r="M195" s="7"/>
      <c r="N195" s="7"/>
      <c r="O195" s="7"/>
      <c r="P195" s="6"/>
      <c r="Q195" s="5"/>
      <c r="R195" s="6"/>
    </row>
    <row r="196" spans="1:18" ht="36" customHeight="1" x14ac:dyDescent="0.25">
      <c r="A196" s="5"/>
      <c r="B196" s="6"/>
      <c r="C196" s="6"/>
      <c r="D196" s="6"/>
      <c r="E196" s="6"/>
      <c r="F196" s="6"/>
      <c r="G196" s="7"/>
      <c r="H196" s="6"/>
      <c r="I196" s="6"/>
      <c r="J196" s="8"/>
      <c r="K196" s="7"/>
      <c r="L196" s="7"/>
      <c r="M196" s="7"/>
      <c r="N196" s="7"/>
      <c r="O196" s="7"/>
      <c r="P196" s="6"/>
      <c r="Q196" s="5"/>
      <c r="R196" s="6"/>
    </row>
    <row r="197" spans="1:18" ht="36" customHeight="1" x14ac:dyDescent="0.25">
      <c r="A197" s="5"/>
      <c r="B197" s="6"/>
      <c r="C197" s="6"/>
      <c r="D197" s="6"/>
      <c r="E197" s="6"/>
      <c r="F197" s="6"/>
      <c r="G197" s="7"/>
      <c r="H197" s="6"/>
      <c r="I197" s="6"/>
      <c r="J197" s="8"/>
      <c r="K197" s="7"/>
      <c r="L197" s="7"/>
      <c r="M197" s="7"/>
      <c r="N197" s="7"/>
      <c r="O197" s="7"/>
      <c r="P197" s="6"/>
      <c r="Q197" s="5"/>
      <c r="R197" s="6"/>
    </row>
    <row r="198" spans="1:18" ht="36" customHeight="1" x14ac:dyDescent="0.25">
      <c r="A198" s="5"/>
      <c r="B198" s="6"/>
      <c r="C198" s="6"/>
      <c r="D198" s="6"/>
      <c r="E198" s="6"/>
      <c r="F198" s="6"/>
      <c r="G198" s="7"/>
      <c r="H198" s="6"/>
      <c r="I198" s="6"/>
      <c r="J198" s="8"/>
      <c r="K198" s="7"/>
      <c r="L198" s="7"/>
      <c r="M198" s="7"/>
      <c r="N198" s="7"/>
      <c r="O198" s="7"/>
      <c r="P198" s="6"/>
      <c r="Q198" s="5"/>
      <c r="R198" s="6"/>
    </row>
    <row r="199" spans="1:18" ht="36" customHeight="1" x14ac:dyDescent="0.25">
      <c r="A199" s="5"/>
      <c r="B199" s="6"/>
      <c r="C199" s="6"/>
      <c r="D199" s="6"/>
      <c r="E199" s="6"/>
      <c r="F199" s="6"/>
      <c r="G199" s="7"/>
      <c r="H199" s="6"/>
      <c r="I199" s="6"/>
      <c r="J199" s="8"/>
      <c r="K199" s="7"/>
      <c r="L199" s="7"/>
      <c r="M199" s="7"/>
      <c r="N199" s="7"/>
      <c r="O199" s="7"/>
      <c r="P199" s="6"/>
      <c r="Q199" s="5"/>
      <c r="R199" s="6"/>
    </row>
    <row r="200" spans="1:18" ht="36" customHeight="1" x14ac:dyDescent="0.25">
      <c r="A200" s="5"/>
      <c r="B200" s="6"/>
      <c r="C200" s="6"/>
      <c r="D200" s="6"/>
      <c r="E200" s="6"/>
      <c r="F200" s="6"/>
      <c r="G200" s="7"/>
      <c r="H200" s="6"/>
      <c r="I200" s="6"/>
      <c r="J200" s="8"/>
      <c r="K200" s="7"/>
      <c r="L200" s="7"/>
      <c r="M200" s="7"/>
      <c r="N200" s="7"/>
      <c r="O200" s="7"/>
      <c r="P200" s="6"/>
      <c r="Q200" s="5"/>
      <c r="R200" s="6"/>
    </row>
    <row r="201" spans="1:18" ht="36" customHeight="1" x14ac:dyDescent="0.25">
      <c r="A201" s="5"/>
      <c r="B201" s="6"/>
      <c r="C201" s="6"/>
      <c r="D201" s="6"/>
      <c r="E201" s="6"/>
      <c r="F201" s="6"/>
      <c r="G201" s="7"/>
      <c r="H201" s="6"/>
      <c r="I201" s="6"/>
      <c r="J201" s="8"/>
      <c r="K201" s="7"/>
      <c r="L201" s="7"/>
      <c r="M201" s="7"/>
      <c r="N201" s="7"/>
      <c r="O201" s="7"/>
      <c r="P201" s="6"/>
      <c r="Q201" s="5"/>
      <c r="R201" s="6"/>
    </row>
  </sheetData>
  <dataValidations count="6">
    <dataValidation type="list" allowBlank="1" showInputMessage="1" showErrorMessage="1" sqref="G1:G1048576 O1:O1048576" xr:uid="{26795AEE-6C0E-4813-AD97-1BF2A1474822}">
      <formula1>YesNo</formula1>
    </dataValidation>
    <dataValidation type="list" allowBlank="1" showInputMessage="1" showErrorMessage="1" sqref="H1:I1048576" xr:uid="{89A1EC40-8FBE-4D16-A1AA-0863ADC9D0CF}">
      <formula1>UseType</formula1>
    </dataValidation>
    <dataValidation type="list" allowBlank="1" showInputMessage="1" showErrorMessage="1" sqref="K1:K1048576" xr:uid="{B18F6602-5F71-4422-9244-062C67E0089E}">
      <formula1>Confidence</formula1>
    </dataValidation>
    <dataValidation type="list" allowBlank="1" showInputMessage="1" showErrorMessage="1" sqref="L1:L1048576" xr:uid="{5C22A4AE-9663-4A0F-A9EA-D5BA49A8155A}">
      <formula1>Helpfulness1to5</formula1>
    </dataValidation>
    <dataValidation type="list" allowBlank="1" showInputMessage="1" showErrorMessage="1" sqref="N1:N1048576" xr:uid="{09581579-8A0F-47B1-9199-8E6A41A0E223}">
      <formula1>PainPoints</formula1>
    </dataValidation>
    <dataValidation type="list" allowBlank="1" showInputMessage="1" showErrorMessage="1" sqref="M2:M201" xr:uid="{80F10603-DF71-4C44-AD37-6C811F3E62EE}">
      <formula1>Rework</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1"/>
  <sheetViews>
    <sheetView showGridLines="0" topLeftCell="A5" workbookViewId="0">
      <selection activeCell="C9" sqref="C9"/>
    </sheetView>
  </sheetViews>
  <sheetFormatPr defaultRowHeight="15" x14ac:dyDescent="0.25"/>
  <cols>
    <col min="1" max="1" width="46.85546875" bestFit="1" customWidth="1"/>
    <col min="2" max="2" width="39.5703125" bestFit="1" customWidth="1"/>
    <col min="3" max="3" width="9.5703125" bestFit="1" customWidth="1"/>
  </cols>
  <sheetData>
    <row r="1" spans="1:3" ht="37.5" x14ac:dyDescent="0.25">
      <c r="A1" s="9" t="s">
        <v>27</v>
      </c>
    </row>
    <row r="3" spans="1:3" x14ac:dyDescent="0.25">
      <c r="A3" s="10" t="s">
        <v>28</v>
      </c>
      <c r="B3" s="6" t="s">
        <v>29</v>
      </c>
    </row>
    <row r="4" spans="1:3" x14ac:dyDescent="0.25">
      <c r="A4" s="10" t="s">
        <v>30</v>
      </c>
      <c r="B4" s="6" t="s">
        <v>29</v>
      </c>
    </row>
    <row r="5" spans="1:3" x14ac:dyDescent="0.25">
      <c r="A5" s="10" t="s">
        <v>31</v>
      </c>
      <c r="B5" s="5">
        <v>46029</v>
      </c>
    </row>
    <row r="6" spans="1:3" x14ac:dyDescent="0.25">
      <c r="A6" s="10" t="s">
        <v>32</v>
      </c>
      <c r="B6" s="5">
        <v>46043</v>
      </c>
    </row>
    <row r="8" spans="1:3" ht="22.15" customHeight="1" x14ac:dyDescent="0.25">
      <c r="A8" s="11" t="s">
        <v>33</v>
      </c>
      <c r="B8" s="12"/>
      <c r="C8" s="12"/>
    </row>
    <row r="9" spans="1:3" x14ac:dyDescent="0.25">
      <c r="A9" s="13" t="s">
        <v>34</v>
      </c>
      <c r="B9" s="14" t="s">
        <v>35</v>
      </c>
      <c r="C9" s="15">
        <f>COUNTIFS('Daily Capture'!$A$2:$A$201,"&gt;="&amp;$B$5,'Daily Capture'!$A$2:$A$201,"&lt;="&amp;$B$6,'Daily Capture'!$B$2:$B$201,IF($B$3="","*", $B$3),'Daily Capture'!$C$2:$C$201,IF($B$4="","*", $B$4),'Daily Capture'!$E$2:$E$201,"&lt;&gt;")</f>
        <v>5</v>
      </c>
    </row>
    <row r="10" spans="1:3" x14ac:dyDescent="0.25">
      <c r="A10" s="13" t="s">
        <v>36</v>
      </c>
      <c r="B10" s="14" t="s">
        <v>37</v>
      </c>
      <c r="C10" s="16">
        <f>IF($C$9=0,"",COUNTIFS('Daily Capture'!$A$2:$A$201,"&gt;="&amp;$B$5,'Daily Capture'!$A$2:$A$201,"&lt;="&amp;$B$6,'Daily Capture'!$B$2:$B$201,IF($B$3="","*", $B$3),'Daily Capture'!$C$2:$C$201,IF($B$4="","*", $B$4),'Daily Capture'!$G$2:$G$201,"Yes")/$C$9)</f>
        <v>1</v>
      </c>
    </row>
    <row r="11" spans="1:3" x14ac:dyDescent="0.25">
      <c r="A11" s="13" t="s">
        <v>38</v>
      </c>
      <c r="B11" s="14" t="s">
        <v>39</v>
      </c>
      <c r="C11" s="15">
        <f>IF($C$9=0,"",SUMIFS('Daily Capture'!$J$2:$J$201,'Daily Capture'!$A$2:$A$201,"&gt;="&amp;$B$5,'Daily Capture'!$A$2:$A$201,"&lt;="&amp;$B$6,'Daily Capture'!$B$2:$B$201,IF($B$3="","*", $B$3),'Daily Capture'!$C$2:$C$201,IF($B$4="","*", $B$4)))</f>
        <v>250</v>
      </c>
    </row>
    <row r="12" spans="1:3" x14ac:dyDescent="0.25">
      <c r="A12" s="13" t="s">
        <v>40</v>
      </c>
      <c r="B12" s="14" t="s">
        <v>41</v>
      </c>
      <c r="C12" s="17">
        <f>IF($C$11="","",$C$11/60)</f>
        <v>4.166666666666667</v>
      </c>
    </row>
    <row r="13" spans="1:3" x14ac:dyDescent="0.25">
      <c r="A13" s="13" t="s">
        <v>42</v>
      </c>
      <c r="B13" s="14" t="s">
        <v>43</v>
      </c>
      <c r="C13" s="17">
        <f>IF($C$9=0,"",AVERAGEIFS('Daily Capture'!$L$2:$L$201,'Daily Capture'!$A$2:$A$201,"&gt;="&amp;$B$5,'Daily Capture'!$A$2:$A$201,"&lt;="&amp;$B$6,'Daily Capture'!$B$2:$B$201,IF($B$3="","*", $B$3),'Daily Capture'!$C$2:$C$201,IF($B$4="","*", $B$4),'Daily Capture'!$L$2:$L$201,"&gt;0"))</f>
        <v>2.8</v>
      </c>
    </row>
    <row r="14" spans="1:3" x14ac:dyDescent="0.25">
      <c r="A14" s="13" t="s">
        <v>44</v>
      </c>
      <c r="B14" s="14" t="s">
        <v>45</v>
      </c>
      <c r="C14" s="16">
        <f>IF($C$9=0,"",(COUNTIFS('Daily Capture'!$A$2:$A$201,"&gt;="&amp;$B$5,'Daily Capture'!$A$2:$A$201,"&lt;="&amp;$B$6,'Daily Capture'!$B$2:$B$201,IF($B$3="","*", $B$3),'Daily Capture'!$C$2:$C$201,IF($B$4="","*", $B$4),'Daily Capture'!$M$2:$M$201,"Some")+COUNTIFS('Daily Capture'!$A$2:$A$201,"&gt;="&amp;$B$5,'Daily Capture'!$A$2:$A$201,"&lt;="&amp;$B$6,'Daily Capture'!$B$2:$B$201,IF($B$3="","*", $B$3),'Daily Capture'!$C$2:$C$201,IF($B$4="","*", $B$4),'Daily Capture'!$M$2:$M$201,"A lot"))/$C$9)</f>
        <v>0.6</v>
      </c>
    </row>
    <row r="16" spans="1:3" ht="15.75" x14ac:dyDescent="0.25">
      <c r="A16" s="36" t="s">
        <v>46</v>
      </c>
      <c r="B16" s="37"/>
      <c r="C16" s="37"/>
    </row>
    <row r="17" spans="1:3" x14ac:dyDescent="0.25">
      <c r="A17" s="18" t="s">
        <v>47</v>
      </c>
      <c r="B17" s="18" t="s">
        <v>48</v>
      </c>
      <c r="C17" s="18" t="s">
        <v>49</v>
      </c>
    </row>
    <row r="18" spans="1:3" ht="19.899999999999999" customHeight="1" x14ac:dyDescent="0.25">
      <c r="A18" s="14" t="s">
        <v>50</v>
      </c>
      <c r="B18" s="19">
        <f>COUNTIFS('Daily Capture'!$A$2:$A$201,"&gt;="&amp;$B$5,'Daily Capture'!$A$2:$A$201,"&lt;="&amp;$B$6,'Daily Capture'!$B$2:$B$201,IF($B$3="","*", $B$3),'Daily Capture'!$C$2:$C$201,IF($B$4="","*", $B$4),'Daily Capture'!$N$2:$N$201,$A18)</f>
        <v>2</v>
      </c>
      <c r="C18" s="20">
        <f t="shared" ref="C18:C28" si="0">IF($C$9=0,"",$B18/$C$9)</f>
        <v>0.4</v>
      </c>
    </row>
    <row r="19" spans="1:3" ht="19.899999999999999" customHeight="1" x14ac:dyDescent="0.25">
      <c r="A19" s="14" t="s">
        <v>51</v>
      </c>
      <c r="B19" s="19">
        <f>COUNTIFS('Daily Capture'!$A$2:$A$201,"&gt;="&amp;$B$5,'Daily Capture'!$A$2:$A$201,"&lt;="&amp;$B$6,'Daily Capture'!$B$2:$B$201,IF($B$3="","*", $B$3),'Daily Capture'!$C$2:$C$201,IF($B$4="","*", $B$4),'Daily Capture'!$N$2:$N$201,$A19)</f>
        <v>1</v>
      </c>
      <c r="C19" s="20">
        <f t="shared" si="0"/>
        <v>0.2</v>
      </c>
    </row>
    <row r="20" spans="1:3" ht="19.899999999999999" customHeight="1" x14ac:dyDescent="0.25">
      <c r="A20" s="14" t="s">
        <v>52</v>
      </c>
      <c r="B20" s="19">
        <f>COUNTIFS('Daily Capture'!$A$2:$A$201,"&gt;="&amp;$B$5,'Daily Capture'!$A$2:$A$201,"&lt;="&amp;$B$6,'Daily Capture'!$B$2:$B$201,IF($B$3="","*", $B$3),'Daily Capture'!$C$2:$C$201,IF($B$4="","*", $B$4),'Daily Capture'!$N$2:$N$201,$A20)</f>
        <v>0</v>
      </c>
      <c r="C20" s="20">
        <f t="shared" si="0"/>
        <v>0</v>
      </c>
    </row>
    <row r="21" spans="1:3" ht="19.899999999999999" customHeight="1" x14ac:dyDescent="0.25">
      <c r="A21" s="14" t="s">
        <v>53</v>
      </c>
      <c r="B21" s="19">
        <f>COUNTIFS('Daily Capture'!$A$2:$A$201,"&gt;="&amp;$B$5,'Daily Capture'!$A$2:$A$201,"&lt;="&amp;$B$6,'Daily Capture'!$B$2:$B$201,IF($B$3="","*", $B$3),'Daily Capture'!$C$2:$C$201,IF($B$4="","*", $B$4),'Daily Capture'!$N$2:$N$201,$A21)</f>
        <v>1</v>
      </c>
      <c r="C21" s="20">
        <f t="shared" si="0"/>
        <v>0.2</v>
      </c>
    </row>
    <row r="22" spans="1:3" ht="19.899999999999999" customHeight="1" x14ac:dyDescent="0.25">
      <c r="A22" s="14" t="s">
        <v>54</v>
      </c>
      <c r="B22" s="19">
        <f>COUNTIFS('Daily Capture'!$A$2:$A$201,"&gt;="&amp;$B$5,'Daily Capture'!$A$2:$A$201,"&lt;="&amp;$B$6,'Daily Capture'!$B$2:$B$201,IF($B$3="","*", $B$3),'Daily Capture'!$C$2:$C$201,IF($B$4="","*", $B$4),'Daily Capture'!$N$2:$N$201,$A22)</f>
        <v>1</v>
      </c>
      <c r="C22" s="20">
        <f t="shared" si="0"/>
        <v>0.2</v>
      </c>
    </row>
    <row r="23" spans="1:3" ht="19.899999999999999" customHeight="1" x14ac:dyDescent="0.25">
      <c r="A23" s="14" t="s">
        <v>55</v>
      </c>
      <c r="B23" s="19">
        <f>COUNTIFS('Daily Capture'!$A$2:$A$201,"&gt;="&amp;$B$5,'Daily Capture'!$A$2:$A$201,"&lt;="&amp;$B$6,'Daily Capture'!$B$2:$B$201,IF($B$3="","*", $B$3),'Daily Capture'!$C$2:$C$201,IF($B$4="","*", $B$4),'Daily Capture'!$N$2:$N$201,$A23)</f>
        <v>0</v>
      </c>
      <c r="C23" s="20">
        <f t="shared" si="0"/>
        <v>0</v>
      </c>
    </row>
    <row r="24" spans="1:3" ht="19.899999999999999" customHeight="1" x14ac:dyDescent="0.25">
      <c r="A24" s="14" t="s">
        <v>56</v>
      </c>
      <c r="B24" s="19">
        <f>COUNTIFS('Daily Capture'!$A$2:$A$201,"&gt;="&amp;$B$5,'Daily Capture'!$A$2:$A$201,"&lt;="&amp;$B$6,'Daily Capture'!$B$2:$B$201,IF($B$3="","*", $B$3),'Daily Capture'!$C$2:$C$201,IF($B$4="","*", $B$4),'Daily Capture'!$N$2:$N$201,$A24)</f>
        <v>0</v>
      </c>
      <c r="C24" s="20">
        <f t="shared" si="0"/>
        <v>0</v>
      </c>
    </row>
    <row r="25" spans="1:3" ht="19.899999999999999" customHeight="1" x14ac:dyDescent="0.25">
      <c r="A25" s="14" t="s">
        <v>57</v>
      </c>
      <c r="B25" s="19">
        <f>COUNTIFS('Daily Capture'!$A$2:$A$201,"&gt;="&amp;$B$5,'Daily Capture'!$A$2:$A$201,"&lt;="&amp;$B$6,'Daily Capture'!$B$2:$B$201,IF($B$3="","*", $B$3),'Daily Capture'!$C$2:$C$201,IF($B$4="","*", $B$4),'Daily Capture'!$N$2:$N$201,$A25)</f>
        <v>0</v>
      </c>
      <c r="C25" s="20">
        <f t="shared" si="0"/>
        <v>0</v>
      </c>
    </row>
    <row r="26" spans="1:3" ht="19.899999999999999" customHeight="1" x14ac:dyDescent="0.25">
      <c r="A26" s="14" t="s">
        <v>58</v>
      </c>
      <c r="B26" s="19">
        <f>COUNTIFS('Daily Capture'!$A$2:$A$201,"&gt;="&amp;$B$5,'Daily Capture'!$A$2:$A$201,"&lt;="&amp;$B$6,'Daily Capture'!$B$2:$B$201,IF($B$3="","*", $B$3),'Daily Capture'!$C$2:$C$201,IF($B$4="","*", $B$4),'Daily Capture'!$N$2:$N$201,$A26)</f>
        <v>0</v>
      </c>
      <c r="C26" s="20">
        <f t="shared" si="0"/>
        <v>0</v>
      </c>
    </row>
    <row r="27" spans="1:3" ht="19.899999999999999" customHeight="1" x14ac:dyDescent="0.25">
      <c r="A27" s="14" t="s">
        <v>59</v>
      </c>
      <c r="B27" s="19">
        <f>COUNTIFS('Daily Capture'!$A$2:$A$201,"&gt;="&amp;$B$5,'Daily Capture'!$A$2:$A$201,"&lt;="&amp;$B$6,'Daily Capture'!$B$2:$B$201,IF($B$3="","*", $B$3),'Daily Capture'!$C$2:$C$201,IF($B$4="","*", $B$4),'Daily Capture'!$N$2:$N$201,$A27)</f>
        <v>0</v>
      </c>
      <c r="C27" s="20">
        <f t="shared" si="0"/>
        <v>0</v>
      </c>
    </row>
    <row r="28" spans="1:3" ht="19.899999999999999" customHeight="1" x14ac:dyDescent="0.25">
      <c r="A28" s="14" t="s">
        <v>60</v>
      </c>
      <c r="B28" s="19">
        <f>COUNTIFS('Daily Capture'!$A$2:$A$201,"&gt;="&amp;$B$5,'Daily Capture'!$A$2:$A$201,"&lt;="&amp;$B$6,'Daily Capture'!$B$2:$B$201,IF($B$3="","*", $B$3),'Daily Capture'!$C$2:$C$201,IF($B$4="","*", $B$4),'Daily Capture'!$N$2:$N$201,$A28)</f>
        <v>0</v>
      </c>
      <c r="C28" s="20">
        <f t="shared" si="0"/>
        <v>0</v>
      </c>
    </row>
    <row r="29" spans="1:3" x14ac:dyDescent="0.25">
      <c r="A29" s="12"/>
      <c r="B29" s="12"/>
      <c r="C29" s="12"/>
    </row>
    <row r="30" spans="1:3" x14ac:dyDescent="0.25">
      <c r="A30" s="12"/>
      <c r="B30" s="12"/>
      <c r="C30" s="12"/>
    </row>
    <row r="31" spans="1:3" x14ac:dyDescent="0.25">
      <c r="A31" s="21" t="s">
        <v>61</v>
      </c>
      <c r="B31" s="10" t="str">
        <f>IF($C$9=0,"",INDEX($A$18:$A$28, MATCH(MAX($B$18:$B$28), $B$18:$B$28, 0)))</f>
        <v>None</v>
      </c>
    </row>
  </sheetData>
  <mergeCells count="1">
    <mergeCell ref="A16:C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45"/>
  <sheetViews>
    <sheetView showGridLines="0" topLeftCell="A5" workbookViewId="0">
      <selection activeCell="A16" sqref="A16"/>
    </sheetView>
  </sheetViews>
  <sheetFormatPr defaultRowHeight="15" x14ac:dyDescent="0.25"/>
  <cols>
    <col min="1" max="1" width="13.140625" bestFit="1" customWidth="1"/>
    <col min="2" max="2" width="10.42578125" bestFit="1" customWidth="1"/>
    <col min="3" max="3" width="14.140625" bestFit="1" customWidth="1"/>
    <col min="4" max="4" width="13.28515625" bestFit="1" customWidth="1"/>
    <col min="5" max="5" width="16.42578125" bestFit="1" customWidth="1"/>
    <col min="6" max="6" width="13.85546875" bestFit="1" customWidth="1"/>
    <col min="7" max="7" width="12.85546875" bestFit="1" customWidth="1"/>
    <col min="8" max="8" width="14.28515625" bestFit="1" customWidth="1"/>
    <col min="9" max="9" width="16" bestFit="1" customWidth="1"/>
    <col min="10" max="10" width="16.28515625" bestFit="1" customWidth="1"/>
    <col min="11" max="11" width="13.85546875" bestFit="1" customWidth="1"/>
    <col min="12" max="12" width="10.28515625" bestFit="1" customWidth="1"/>
    <col min="13" max="13" width="14.85546875" bestFit="1" customWidth="1"/>
    <col min="14" max="14" width="12.28515625" bestFit="1" customWidth="1"/>
    <col min="15" max="15" width="12" bestFit="1" customWidth="1"/>
    <col min="16" max="16" width="16" customWidth="1"/>
    <col min="17" max="19" width="14.42578125" bestFit="1" customWidth="1"/>
  </cols>
  <sheetData>
    <row r="1" spans="1:19" ht="75" x14ac:dyDescent="0.25">
      <c r="A1" s="9" t="s">
        <v>62</v>
      </c>
    </row>
    <row r="3" spans="1:19" ht="15.75" x14ac:dyDescent="0.25">
      <c r="A3" s="36" t="s">
        <v>63</v>
      </c>
      <c r="B3" s="37"/>
      <c r="C3" s="37"/>
      <c r="D3" s="37"/>
      <c r="E3" s="37"/>
    </row>
    <row r="4" spans="1:19" ht="60" x14ac:dyDescent="0.25">
      <c r="A4" s="3" t="s">
        <v>64</v>
      </c>
      <c r="B4" s="22">
        <v>0.8</v>
      </c>
    </row>
    <row r="5" spans="1:19" ht="60" x14ac:dyDescent="0.25">
      <c r="A5" s="3" t="s">
        <v>65</v>
      </c>
      <c r="B5" s="23">
        <v>60</v>
      </c>
    </row>
    <row r="6" spans="1:19" ht="60" x14ac:dyDescent="0.25">
      <c r="A6" s="3" t="s">
        <v>66</v>
      </c>
      <c r="B6" s="23">
        <v>1</v>
      </c>
    </row>
    <row r="8" spans="1:19" ht="15.75" x14ac:dyDescent="0.25">
      <c r="A8" s="36" t="s">
        <v>67</v>
      </c>
      <c r="B8" s="37"/>
      <c r="C8" s="37"/>
      <c r="D8" s="37"/>
      <c r="E8" s="37"/>
    </row>
    <row r="9" spans="1:19" ht="30" x14ac:dyDescent="0.25">
      <c r="A9" s="3" t="s">
        <v>68</v>
      </c>
      <c r="B9" s="24">
        <v>0.3</v>
      </c>
    </row>
    <row r="10" spans="1:19" ht="30" x14ac:dyDescent="0.25">
      <c r="A10" s="3" t="s">
        <v>69</v>
      </c>
      <c r="B10" s="24">
        <v>0.3</v>
      </c>
    </row>
    <row r="11" spans="1:19" ht="30" x14ac:dyDescent="0.25">
      <c r="A11" s="3" t="s">
        <v>70</v>
      </c>
      <c r="B11" s="24">
        <v>0.2</v>
      </c>
    </row>
    <row r="12" spans="1:19" ht="30" x14ac:dyDescent="0.25">
      <c r="A12" s="3" t="s">
        <v>71</v>
      </c>
      <c r="B12" s="24">
        <v>0.2</v>
      </c>
    </row>
    <row r="13" spans="1:19" x14ac:dyDescent="0.25">
      <c r="A13" s="21" t="s">
        <v>72</v>
      </c>
      <c r="B13" s="25">
        <f>SUM($B$9:$B$12)</f>
        <v>1</v>
      </c>
    </row>
    <row r="15" spans="1:19" ht="30" customHeight="1" x14ac:dyDescent="0.25">
      <c r="A15" s="4" t="s">
        <v>10</v>
      </c>
      <c r="B15" s="4" t="s">
        <v>11</v>
      </c>
      <c r="C15" s="4" t="s">
        <v>73</v>
      </c>
      <c r="D15" s="4" t="s">
        <v>74</v>
      </c>
      <c r="E15" s="4" t="s">
        <v>75</v>
      </c>
      <c r="F15" s="4" t="s">
        <v>76</v>
      </c>
      <c r="G15" s="4" t="s">
        <v>77</v>
      </c>
      <c r="H15" s="4" t="s">
        <v>78</v>
      </c>
      <c r="I15" s="4" t="s">
        <v>79</v>
      </c>
      <c r="J15" s="4" t="s">
        <v>44</v>
      </c>
      <c r="K15" s="4" t="s">
        <v>80</v>
      </c>
      <c r="L15" s="4" t="s">
        <v>81</v>
      </c>
      <c r="M15" s="4" t="s">
        <v>82</v>
      </c>
      <c r="N15" s="4" t="s">
        <v>83</v>
      </c>
      <c r="O15" s="4" t="s">
        <v>84</v>
      </c>
      <c r="P15" s="4" t="s">
        <v>85</v>
      </c>
      <c r="Q15" s="4" t="s">
        <v>86</v>
      </c>
      <c r="R15" s="4" t="s">
        <v>87</v>
      </c>
      <c r="S15" s="4" t="s">
        <v>88</v>
      </c>
    </row>
    <row r="16" spans="1:19" ht="22.15" customHeight="1" x14ac:dyDescent="0.25">
      <c r="A16" s="6"/>
      <c r="B16" s="6"/>
      <c r="C16" s="26"/>
      <c r="D16" s="26"/>
      <c r="E16">
        <f>COUNTIFS('Daily Capture'!$A$2:$A$201,"&gt;="&amp;$C16,'Daily Capture'!$A$2:$A$201,"&lt;="&amp;$D16,'Daily Capture'!$B$2:$B$201,IF($A16="","*", $A16),'Daily Capture'!$C$2:$C$201,IF($B16="","*", $B16),'Daily Capture'!$E$2:$E$201,"&lt;&gt;")</f>
        <v>0</v>
      </c>
      <c r="F16" s="27" t="str">
        <f>IF($E16=0,"",COUNTIFS('Daily Capture'!$A$2:$A$201,"&gt;="&amp;$C16,'Daily Capture'!$A$2:$A$201,"&lt;="&amp;$D16,'Daily Capture'!$B$2:$B$201,IF($A16="","*", $A16),'Daily Capture'!$C$2:$C$201,IF($B16="","*", $B16),'Daily Capture'!$G$2:$G$201,"Yes")/$E16)</f>
        <v/>
      </c>
      <c r="G16" t="str">
        <f>IF($E16=0,"",SUMIFS('Daily Capture'!$J$2:$J$201,'Daily Capture'!$A$2:$A$201,"&gt;="&amp;$C16,'Daily Capture'!$A$2:$A$201,"&lt;="&amp;$D16,'Daily Capture'!$B$2:$B$201,IF($A16="","*", $A16),'Daily Capture'!$C$2:$C$201,IF($B16="","*", $B16)))</f>
        <v/>
      </c>
      <c r="H16" s="28" t="str">
        <f t="shared" ref="H16:H45" si="0">IF($G16="","",$G16/60)</f>
        <v/>
      </c>
      <c r="I16" s="28" t="str">
        <f>IF($E16=0,"",AVERAGEIFS('Daily Capture'!$L$2:$L$201,'Daily Capture'!$A$2:$A$201,"&gt;="&amp;$C16,'Daily Capture'!$A$2:$A$201,"&lt;="&amp;$D16,'Daily Capture'!$B$2:$B$201,IF($A16="","*", $A16),'Daily Capture'!$C$2:$C$201,IF($B16="","*", $B16),'Daily Capture'!$L$2:$L$201,"&gt;0"))</f>
        <v/>
      </c>
      <c r="J16" s="27" t="str">
        <f>IF($E16=0,"",(COUNTIFS('Daily Capture'!$A$2:$A$201,"&gt;="&amp;$C16,'Daily Capture'!$A$2:$A$201,"&lt;="&amp;$D16,'Daily Capture'!$B$2:$B$201,IF($A16="","*", $A16),'Daily Capture'!$C$2:$C$201,IF($B16="","*", $B16),'Daily Capture'!$M$2:$M$201,"Some")+COUNTIFS('Daily Capture'!$A$2:$A$201,"&gt;="&amp;$C16,'Daily Capture'!$A$2:$A$201,"&lt;="&amp;$D16,'Daily Capture'!$B$2:$B$201,IF($A16="","*", $A16),'Daily Capture'!$C$2:$C$201,IF($B16="","*", $B16),'Daily Capture'!$M$2:$M$201,"A lot"))/$E16)</f>
        <v/>
      </c>
      <c r="K16" s="29" t="str">
        <f t="shared" ref="K16:K45" si="1">IF($F16="","",IF(ROUND($F16/$B$4*100,0)&gt;100,100,ROUND($F16/$B$4*100,0)))</f>
        <v/>
      </c>
      <c r="L16" s="29" t="str">
        <f t="shared" ref="L16:L45" si="2">IF($E16=0,"",IF(((($G16/$E16)+$B$5)/(2*$B$5)*100)&lt;0,0,IF(((($G16/$E16)+$B$5)/(2*$B$5)*100)&gt;100,100,ROUND(((($G16/$E16)+$B$5)/(2*$B$5)*100),0))))</f>
        <v/>
      </c>
      <c r="M16" s="29" t="str">
        <f t="shared" ref="M16:M45" si="3">IF($I16="","",IF(((($I16-1)/4)*100)&lt;0,0,IF(((($I16-1)/4)*100)&gt;100,100,ROUND(((($I16-1)/4)*100),0))))</f>
        <v/>
      </c>
      <c r="N16" s="29" t="str">
        <f t="shared" ref="N16:N45" si="4">IF($J16="","",IF((100 - ($J16*100*$B$6))&lt;0,0,ROUND((100 - ($J16*100*$B$6)),0)))</f>
        <v/>
      </c>
      <c r="O16" s="29" t="str">
        <f t="shared" ref="O16:O45" si="5">IF($E16=0,"",ROUND($K16*$B$9 + $L16*$B$10 + $M16*$B$11 + $N16*$B$12,0))</f>
        <v/>
      </c>
      <c r="P16" s="7"/>
      <c r="Q16" s="7"/>
      <c r="R16" s="7"/>
      <c r="S16" s="7"/>
    </row>
    <row r="17" spans="1:19" ht="22.15" customHeight="1" x14ac:dyDescent="0.25">
      <c r="A17" s="6"/>
      <c r="B17" s="6"/>
      <c r="C17" s="26"/>
      <c r="D17" s="26"/>
      <c r="E17">
        <f>COUNTIFS('Daily Capture'!$A$2:$A$201,"&gt;="&amp;$C17,'Daily Capture'!$A$2:$A$201,"&lt;="&amp;$D17,'Daily Capture'!$B$2:$B$201,IF($A17="","*", $A17),'Daily Capture'!$C$2:$C$201,IF($B17="","*", $B17),'Daily Capture'!$E$2:$E$201,"&lt;&gt;")</f>
        <v>0</v>
      </c>
      <c r="F17" s="27" t="str">
        <f>IF($E17=0,"",COUNTIFS('Daily Capture'!$A$2:$A$201,"&gt;="&amp;$C17,'Daily Capture'!$A$2:$A$201,"&lt;="&amp;$D17,'Daily Capture'!$B$2:$B$201,IF($A17="","*", $A17),'Daily Capture'!$C$2:$C$201,IF($B17="","*", $B17),'Daily Capture'!$G$2:$G$201,"Yes")/$E17)</f>
        <v/>
      </c>
      <c r="G17" t="str">
        <f>IF($E17=0,"",SUMIFS('Daily Capture'!$J$2:$J$201,'Daily Capture'!$A$2:$A$201,"&gt;="&amp;$C17,'Daily Capture'!$A$2:$A$201,"&lt;="&amp;$D17,'Daily Capture'!$B$2:$B$201,IF($A17="","*", $A17),'Daily Capture'!$C$2:$C$201,IF($B17="","*", $B17)))</f>
        <v/>
      </c>
      <c r="H17" s="28" t="str">
        <f t="shared" si="0"/>
        <v/>
      </c>
      <c r="I17" s="28" t="str">
        <f>IF($E17=0,"",AVERAGEIFS('Daily Capture'!$L$2:$L$201,'Daily Capture'!$A$2:$A$201,"&gt;="&amp;$C17,'Daily Capture'!$A$2:$A$201,"&lt;="&amp;$D17,'Daily Capture'!$B$2:$B$201,IF($A17="","*", $A17),'Daily Capture'!$C$2:$C$201,IF($B17="","*", $B17),'Daily Capture'!$L$2:$L$201,"&gt;0"))</f>
        <v/>
      </c>
      <c r="J17" s="27" t="str">
        <f>IF($E17=0,"",(COUNTIFS('Daily Capture'!$A$2:$A$201,"&gt;="&amp;$C17,'Daily Capture'!$A$2:$A$201,"&lt;="&amp;$D17,'Daily Capture'!$B$2:$B$201,IF($A17="","*", $A17),'Daily Capture'!$C$2:$C$201,IF($B17="","*", $B17),'Daily Capture'!$M$2:$M$201,"Some")+COUNTIFS('Daily Capture'!$A$2:$A$201,"&gt;="&amp;$C17,'Daily Capture'!$A$2:$A$201,"&lt;="&amp;$D17,'Daily Capture'!$B$2:$B$201,IF($A17="","*", $A17),'Daily Capture'!$C$2:$C$201,IF($B17="","*", $B17),'Daily Capture'!$M$2:$M$201,"A lot"))/$E17)</f>
        <v/>
      </c>
      <c r="K17" s="29" t="str">
        <f t="shared" si="1"/>
        <v/>
      </c>
      <c r="L17" s="29" t="str">
        <f t="shared" si="2"/>
        <v/>
      </c>
      <c r="M17" s="29" t="str">
        <f t="shared" si="3"/>
        <v/>
      </c>
      <c r="N17" s="29" t="str">
        <f t="shared" si="4"/>
        <v/>
      </c>
      <c r="O17" s="29" t="str">
        <f t="shared" si="5"/>
        <v/>
      </c>
      <c r="P17" s="7"/>
      <c r="Q17" s="7"/>
      <c r="R17" s="7"/>
      <c r="S17" s="7"/>
    </row>
    <row r="18" spans="1:19" ht="22.15" customHeight="1" x14ac:dyDescent="0.25">
      <c r="A18" s="6"/>
      <c r="B18" s="6"/>
      <c r="C18" s="26"/>
      <c r="D18" s="26"/>
      <c r="E18">
        <f>COUNTIFS('Daily Capture'!$A$2:$A$201,"&gt;="&amp;$C18,'Daily Capture'!$A$2:$A$201,"&lt;="&amp;$D18,'Daily Capture'!$B$2:$B$201,IF($A18="","*", $A18),'Daily Capture'!$C$2:$C$201,IF($B18="","*", $B18),'Daily Capture'!$E$2:$E$201,"&lt;&gt;")</f>
        <v>0</v>
      </c>
      <c r="F18" s="27" t="str">
        <f>IF($E18=0,"",COUNTIFS('Daily Capture'!$A$2:$A$201,"&gt;="&amp;$C18,'Daily Capture'!$A$2:$A$201,"&lt;="&amp;$D18,'Daily Capture'!$B$2:$B$201,IF($A18="","*", $A18),'Daily Capture'!$C$2:$C$201,IF($B18="","*", $B18),'Daily Capture'!$G$2:$G$201,"Yes")/$E18)</f>
        <v/>
      </c>
      <c r="G18" t="str">
        <f>IF($E18=0,"",SUMIFS('Daily Capture'!$J$2:$J$201,'Daily Capture'!$A$2:$A$201,"&gt;="&amp;$C18,'Daily Capture'!$A$2:$A$201,"&lt;="&amp;$D18,'Daily Capture'!$B$2:$B$201,IF($A18="","*", $A18),'Daily Capture'!$C$2:$C$201,IF($B18="","*", $B18)))</f>
        <v/>
      </c>
      <c r="H18" s="28" t="str">
        <f t="shared" si="0"/>
        <v/>
      </c>
      <c r="I18" s="28" t="str">
        <f>IF($E18=0,"",AVERAGEIFS('Daily Capture'!$L$2:$L$201,'Daily Capture'!$A$2:$A$201,"&gt;="&amp;$C18,'Daily Capture'!$A$2:$A$201,"&lt;="&amp;$D18,'Daily Capture'!$B$2:$B$201,IF($A18="","*", $A18),'Daily Capture'!$C$2:$C$201,IF($B18="","*", $B18),'Daily Capture'!$L$2:$L$201,"&gt;0"))</f>
        <v/>
      </c>
      <c r="J18" s="27" t="str">
        <f>IF($E18=0,"",(COUNTIFS('Daily Capture'!$A$2:$A$201,"&gt;="&amp;$C18,'Daily Capture'!$A$2:$A$201,"&lt;="&amp;$D18,'Daily Capture'!$B$2:$B$201,IF($A18="","*", $A18),'Daily Capture'!$C$2:$C$201,IF($B18="","*", $B18),'Daily Capture'!$M$2:$M$201,"Some")+COUNTIFS('Daily Capture'!$A$2:$A$201,"&gt;="&amp;$C18,'Daily Capture'!$A$2:$A$201,"&lt;="&amp;$D18,'Daily Capture'!$B$2:$B$201,IF($A18="","*", $A18),'Daily Capture'!$C$2:$C$201,IF($B18="","*", $B18),'Daily Capture'!$M$2:$M$201,"A lot"))/$E18)</f>
        <v/>
      </c>
      <c r="K18" s="29" t="str">
        <f t="shared" si="1"/>
        <v/>
      </c>
      <c r="L18" s="29" t="str">
        <f t="shared" si="2"/>
        <v/>
      </c>
      <c r="M18" s="29" t="str">
        <f t="shared" si="3"/>
        <v/>
      </c>
      <c r="N18" s="29" t="str">
        <f t="shared" si="4"/>
        <v/>
      </c>
      <c r="O18" s="29" t="str">
        <f t="shared" si="5"/>
        <v/>
      </c>
      <c r="P18" s="7"/>
      <c r="Q18" s="7"/>
      <c r="R18" s="7"/>
      <c r="S18" s="7"/>
    </row>
    <row r="19" spans="1:19" ht="22.15" customHeight="1" x14ac:dyDescent="0.25">
      <c r="A19" s="6"/>
      <c r="B19" s="6"/>
      <c r="C19" s="26"/>
      <c r="D19" s="26"/>
      <c r="E19">
        <f>COUNTIFS('Daily Capture'!$A$2:$A$201,"&gt;="&amp;$C19,'Daily Capture'!$A$2:$A$201,"&lt;="&amp;$D19,'Daily Capture'!$B$2:$B$201,IF($A19="","*", $A19),'Daily Capture'!$C$2:$C$201,IF($B19="","*", $B19),'Daily Capture'!$E$2:$E$201,"&lt;&gt;")</f>
        <v>0</v>
      </c>
      <c r="F19" s="27" t="str">
        <f>IF($E19=0,"",COUNTIFS('Daily Capture'!$A$2:$A$201,"&gt;="&amp;$C19,'Daily Capture'!$A$2:$A$201,"&lt;="&amp;$D19,'Daily Capture'!$B$2:$B$201,IF($A19="","*", $A19),'Daily Capture'!$C$2:$C$201,IF($B19="","*", $B19),'Daily Capture'!$G$2:$G$201,"Yes")/$E19)</f>
        <v/>
      </c>
      <c r="G19" t="str">
        <f>IF($E19=0,"",SUMIFS('Daily Capture'!$J$2:$J$201,'Daily Capture'!$A$2:$A$201,"&gt;="&amp;$C19,'Daily Capture'!$A$2:$A$201,"&lt;="&amp;$D19,'Daily Capture'!$B$2:$B$201,IF($A19="","*", $A19),'Daily Capture'!$C$2:$C$201,IF($B19="","*", $B19)))</f>
        <v/>
      </c>
      <c r="H19" s="28" t="str">
        <f t="shared" si="0"/>
        <v/>
      </c>
      <c r="I19" s="28" t="str">
        <f>IF($E19=0,"",AVERAGEIFS('Daily Capture'!$L$2:$L$201,'Daily Capture'!$A$2:$A$201,"&gt;="&amp;$C19,'Daily Capture'!$A$2:$A$201,"&lt;="&amp;$D19,'Daily Capture'!$B$2:$B$201,IF($A19="","*", $A19),'Daily Capture'!$C$2:$C$201,IF($B19="","*", $B19),'Daily Capture'!$L$2:$L$201,"&gt;0"))</f>
        <v/>
      </c>
      <c r="J19" s="27" t="str">
        <f>IF($E19=0,"",(COUNTIFS('Daily Capture'!$A$2:$A$201,"&gt;="&amp;$C19,'Daily Capture'!$A$2:$A$201,"&lt;="&amp;$D19,'Daily Capture'!$B$2:$B$201,IF($A19="","*", $A19),'Daily Capture'!$C$2:$C$201,IF($B19="","*", $B19),'Daily Capture'!$M$2:$M$201,"Some")+COUNTIFS('Daily Capture'!$A$2:$A$201,"&gt;="&amp;$C19,'Daily Capture'!$A$2:$A$201,"&lt;="&amp;$D19,'Daily Capture'!$B$2:$B$201,IF($A19="","*", $A19),'Daily Capture'!$C$2:$C$201,IF($B19="","*", $B19),'Daily Capture'!$M$2:$M$201,"A lot"))/$E19)</f>
        <v/>
      </c>
      <c r="K19" s="29" t="str">
        <f t="shared" si="1"/>
        <v/>
      </c>
      <c r="L19" s="29" t="str">
        <f t="shared" si="2"/>
        <v/>
      </c>
      <c r="M19" s="29" t="str">
        <f t="shared" si="3"/>
        <v/>
      </c>
      <c r="N19" s="29" t="str">
        <f t="shared" si="4"/>
        <v/>
      </c>
      <c r="O19" s="29" t="str">
        <f t="shared" si="5"/>
        <v/>
      </c>
      <c r="P19" s="7"/>
      <c r="Q19" s="7"/>
      <c r="R19" s="7"/>
      <c r="S19" s="7"/>
    </row>
    <row r="20" spans="1:19" ht="22.15" customHeight="1" x14ac:dyDescent="0.25">
      <c r="A20" s="6"/>
      <c r="B20" s="6"/>
      <c r="C20" s="26"/>
      <c r="D20" s="26"/>
      <c r="E20">
        <f>COUNTIFS('Daily Capture'!$A$2:$A$201,"&gt;="&amp;$C20,'Daily Capture'!$A$2:$A$201,"&lt;="&amp;$D20,'Daily Capture'!$B$2:$B$201,IF($A20="","*", $A20),'Daily Capture'!$C$2:$C$201,IF($B20="","*", $B20),'Daily Capture'!$E$2:$E$201,"&lt;&gt;")</f>
        <v>0</v>
      </c>
      <c r="F20" s="27" t="str">
        <f>IF($E20=0,"",COUNTIFS('Daily Capture'!$A$2:$A$201,"&gt;="&amp;$C20,'Daily Capture'!$A$2:$A$201,"&lt;="&amp;$D20,'Daily Capture'!$B$2:$B$201,IF($A20="","*", $A20),'Daily Capture'!$C$2:$C$201,IF($B20="","*", $B20),'Daily Capture'!$G$2:$G$201,"Yes")/$E20)</f>
        <v/>
      </c>
      <c r="G20" t="str">
        <f>IF($E20=0,"",SUMIFS('Daily Capture'!$J$2:$J$201,'Daily Capture'!$A$2:$A$201,"&gt;="&amp;$C20,'Daily Capture'!$A$2:$A$201,"&lt;="&amp;$D20,'Daily Capture'!$B$2:$B$201,IF($A20="","*", $A20),'Daily Capture'!$C$2:$C$201,IF($B20="","*", $B20)))</f>
        <v/>
      </c>
      <c r="H20" s="28" t="str">
        <f t="shared" si="0"/>
        <v/>
      </c>
      <c r="I20" s="28" t="str">
        <f>IF($E20=0,"",AVERAGEIFS('Daily Capture'!$L$2:$L$201,'Daily Capture'!$A$2:$A$201,"&gt;="&amp;$C20,'Daily Capture'!$A$2:$A$201,"&lt;="&amp;$D20,'Daily Capture'!$B$2:$B$201,IF($A20="","*", $A20),'Daily Capture'!$C$2:$C$201,IF($B20="","*", $B20),'Daily Capture'!$L$2:$L$201,"&gt;0"))</f>
        <v/>
      </c>
      <c r="J20" s="27" t="str">
        <f>IF($E20=0,"",(COUNTIFS('Daily Capture'!$A$2:$A$201,"&gt;="&amp;$C20,'Daily Capture'!$A$2:$A$201,"&lt;="&amp;$D20,'Daily Capture'!$B$2:$B$201,IF($A20="","*", $A20),'Daily Capture'!$C$2:$C$201,IF($B20="","*", $B20),'Daily Capture'!$M$2:$M$201,"Some")+COUNTIFS('Daily Capture'!$A$2:$A$201,"&gt;="&amp;$C20,'Daily Capture'!$A$2:$A$201,"&lt;="&amp;$D20,'Daily Capture'!$B$2:$B$201,IF($A20="","*", $A20),'Daily Capture'!$C$2:$C$201,IF($B20="","*", $B20),'Daily Capture'!$M$2:$M$201,"A lot"))/$E20)</f>
        <v/>
      </c>
      <c r="K20" s="29" t="str">
        <f t="shared" si="1"/>
        <v/>
      </c>
      <c r="L20" s="29" t="str">
        <f t="shared" si="2"/>
        <v/>
      </c>
      <c r="M20" s="29" t="str">
        <f t="shared" si="3"/>
        <v/>
      </c>
      <c r="N20" s="29" t="str">
        <f t="shared" si="4"/>
        <v/>
      </c>
      <c r="O20" s="29" t="str">
        <f t="shared" si="5"/>
        <v/>
      </c>
      <c r="P20" s="7"/>
      <c r="Q20" s="7"/>
      <c r="R20" s="7"/>
      <c r="S20" s="7"/>
    </row>
    <row r="21" spans="1:19" ht="22.15" customHeight="1" x14ac:dyDescent="0.25">
      <c r="A21" s="6"/>
      <c r="B21" s="6"/>
      <c r="C21" s="26"/>
      <c r="D21" s="26"/>
      <c r="E21">
        <f>COUNTIFS('Daily Capture'!$A$2:$A$201,"&gt;="&amp;$C21,'Daily Capture'!$A$2:$A$201,"&lt;="&amp;$D21,'Daily Capture'!$B$2:$B$201,IF($A21="","*", $A21),'Daily Capture'!$C$2:$C$201,IF($B21="","*", $B21),'Daily Capture'!$E$2:$E$201,"&lt;&gt;")</f>
        <v>0</v>
      </c>
      <c r="F21" s="27" t="str">
        <f>IF($E21=0,"",COUNTIFS('Daily Capture'!$A$2:$A$201,"&gt;="&amp;$C21,'Daily Capture'!$A$2:$A$201,"&lt;="&amp;$D21,'Daily Capture'!$B$2:$B$201,IF($A21="","*", $A21),'Daily Capture'!$C$2:$C$201,IF($B21="","*", $B21),'Daily Capture'!$G$2:$G$201,"Yes")/$E21)</f>
        <v/>
      </c>
      <c r="G21" t="str">
        <f>IF($E21=0,"",SUMIFS('Daily Capture'!$J$2:$J$201,'Daily Capture'!$A$2:$A$201,"&gt;="&amp;$C21,'Daily Capture'!$A$2:$A$201,"&lt;="&amp;$D21,'Daily Capture'!$B$2:$B$201,IF($A21="","*", $A21),'Daily Capture'!$C$2:$C$201,IF($B21="","*", $B21)))</f>
        <v/>
      </c>
      <c r="H21" s="28" t="str">
        <f t="shared" si="0"/>
        <v/>
      </c>
      <c r="I21" s="28" t="str">
        <f>IF($E21=0,"",AVERAGEIFS('Daily Capture'!$L$2:$L$201,'Daily Capture'!$A$2:$A$201,"&gt;="&amp;$C21,'Daily Capture'!$A$2:$A$201,"&lt;="&amp;$D21,'Daily Capture'!$B$2:$B$201,IF($A21="","*", $A21),'Daily Capture'!$C$2:$C$201,IF($B21="","*", $B21),'Daily Capture'!$L$2:$L$201,"&gt;0"))</f>
        <v/>
      </c>
      <c r="J21" s="27" t="str">
        <f>IF($E21=0,"",(COUNTIFS('Daily Capture'!$A$2:$A$201,"&gt;="&amp;$C21,'Daily Capture'!$A$2:$A$201,"&lt;="&amp;$D21,'Daily Capture'!$B$2:$B$201,IF($A21="","*", $A21),'Daily Capture'!$C$2:$C$201,IF($B21="","*", $B21),'Daily Capture'!$M$2:$M$201,"Some")+COUNTIFS('Daily Capture'!$A$2:$A$201,"&gt;="&amp;$C21,'Daily Capture'!$A$2:$A$201,"&lt;="&amp;$D21,'Daily Capture'!$B$2:$B$201,IF($A21="","*", $A21),'Daily Capture'!$C$2:$C$201,IF($B21="","*", $B21),'Daily Capture'!$M$2:$M$201,"A lot"))/$E21)</f>
        <v/>
      </c>
      <c r="K21" s="29" t="str">
        <f t="shared" si="1"/>
        <v/>
      </c>
      <c r="L21" s="29" t="str">
        <f t="shared" si="2"/>
        <v/>
      </c>
      <c r="M21" s="29" t="str">
        <f t="shared" si="3"/>
        <v/>
      </c>
      <c r="N21" s="29" t="str">
        <f t="shared" si="4"/>
        <v/>
      </c>
      <c r="O21" s="29" t="str">
        <f t="shared" si="5"/>
        <v/>
      </c>
      <c r="P21" s="7"/>
      <c r="Q21" s="7"/>
      <c r="R21" s="7"/>
      <c r="S21" s="7"/>
    </row>
    <row r="22" spans="1:19" ht="22.15" customHeight="1" x14ac:dyDescent="0.25">
      <c r="A22" s="6"/>
      <c r="B22" s="6"/>
      <c r="C22" s="26"/>
      <c r="D22" s="26"/>
      <c r="E22">
        <f>COUNTIFS('Daily Capture'!$A$2:$A$201,"&gt;="&amp;$C22,'Daily Capture'!$A$2:$A$201,"&lt;="&amp;$D22,'Daily Capture'!$B$2:$B$201,IF($A22="","*", $A22),'Daily Capture'!$C$2:$C$201,IF($B22="","*", $B22),'Daily Capture'!$E$2:$E$201,"&lt;&gt;")</f>
        <v>0</v>
      </c>
      <c r="F22" s="27" t="str">
        <f>IF($E22=0,"",COUNTIFS('Daily Capture'!$A$2:$A$201,"&gt;="&amp;$C22,'Daily Capture'!$A$2:$A$201,"&lt;="&amp;$D22,'Daily Capture'!$B$2:$B$201,IF($A22="","*", $A22),'Daily Capture'!$C$2:$C$201,IF($B22="","*", $B22),'Daily Capture'!$G$2:$G$201,"Yes")/$E22)</f>
        <v/>
      </c>
      <c r="G22" t="str">
        <f>IF($E22=0,"",SUMIFS('Daily Capture'!$J$2:$J$201,'Daily Capture'!$A$2:$A$201,"&gt;="&amp;$C22,'Daily Capture'!$A$2:$A$201,"&lt;="&amp;$D22,'Daily Capture'!$B$2:$B$201,IF($A22="","*", $A22),'Daily Capture'!$C$2:$C$201,IF($B22="","*", $B22)))</f>
        <v/>
      </c>
      <c r="H22" s="28" t="str">
        <f t="shared" si="0"/>
        <v/>
      </c>
      <c r="I22" s="28" t="str">
        <f>IF($E22=0,"",AVERAGEIFS('Daily Capture'!$L$2:$L$201,'Daily Capture'!$A$2:$A$201,"&gt;="&amp;$C22,'Daily Capture'!$A$2:$A$201,"&lt;="&amp;$D22,'Daily Capture'!$B$2:$B$201,IF($A22="","*", $A22),'Daily Capture'!$C$2:$C$201,IF($B22="","*", $B22),'Daily Capture'!$L$2:$L$201,"&gt;0"))</f>
        <v/>
      </c>
      <c r="J22" s="27" t="str">
        <f>IF($E22=0,"",(COUNTIFS('Daily Capture'!$A$2:$A$201,"&gt;="&amp;$C22,'Daily Capture'!$A$2:$A$201,"&lt;="&amp;$D22,'Daily Capture'!$B$2:$B$201,IF($A22="","*", $A22),'Daily Capture'!$C$2:$C$201,IF($B22="","*", $B22),'Daily Capture'!$M$2:$M$201,"Some")+COUNTIFS('Daily Capture'!$A$2:$A$201,"&gt;="&amp;$C22,'Daily Capture'!$A$2:$A$201,"&lt;="&amp;$D22,'Daily Capture'!$B$2:$B$201,IF($A22="","*", $A22),'Daily Capture'!$C$2:$C$201,IF($B22="","*", $B22),'Daily Capture'!$M$2:$M$201,"A lot"))/$E22)</f>
        <v/>
      </c>
      <c r="K22" s="29" t="str">
        <f t="shared" si="1"/>
        <v/>
      </c>
      <c r="L22" s="29" t="str">
        <f t="shared" si="2"/>
        <v/>
      </c>
      <c r="M22" s="29" t="str">
        <f t="shared" si="3"/>
        <v/>
      </c>
      <c r="N22" s="29" t="str">
        <f t="shared" si="4"/>
        <v/>
      </c>
      <c r="O22" s="29" t="str">
        <f t="shared" si="5"/>
        <v/>
      </c>
      <c r="P22" s="7"/>
      <c r="Q22" s="7"/>
      <c r="R22" s="7"/>
      <c r="S22" s="7"/>
    </row>
    <row r="23" spans="1:19" ht="22.15" customHeight="1" x14ac:dyDescent="0.25">
      <c r="A23" s="6"/>
      <c r="B23" s="6"/>
      <c r="C23" s="26"/>
      <c r="D23" s="26"/>
      <c r="E23">
        <f>COUNTIFS('Daily Capture'!$A$2:$A$201,"&gt;="&amp;$C23,'Daily Capture'!$A$2:$A$201,"&lt;="&amp;$D23,'Daily Capture'!$B$2:$B$201,IF($A23="","*", $A23),'Daily Capture'!$C$2:$C$201,IF($B23="","*", $B23),'Daily Capture'!$E$2:$E$201,"&lt;&gt;")</f>
        <v>0</v>
      </c>
      <c r="F23" s="27" t="str">
        <f>IF($E23=0,"",COUNTIFS('Daily Capture'!$A$2:$A$201,"&gt;="&amp;$C23,'Daily Capture'!$A$2:$A$201,"&lt;="&amp;$D23,'Daily Capture'!$B$2:$B$201,IF($A23="","*", $A23),'Daily Capture'!$C$2:$C$201,IF($B23="","*", $B23),'Daily Capture'!$G$2:$G$201,"Yes")/$E23)</f>
        <v/>
      </c>
      <c r="G23" t="str">
        <f>IF($E23=0,"",SUMIFS('Daily Capture'!$J$2:$J$201,'Daily Capture'!$A$2:$A$201,"&gt;="&amp;$C23,'Daily Capture'!$A$2:$A$201,"&lt;="&amp;$D23,'Daily Capture'!$B$2:$B$201,IF($A23="","*", $A23),'Daily Capture'!$C$2:$C$201,IF($B23="","*", $B23)))</f>
        <v/>
      </c>
      <c r="H23" s="28" t="str">
        <f t="shared" si="0"/>
        <v/>
      </c>
      <c r="I23" s="28" t="str">
        <f>IF($E23=0,"",AVERAGEIFS('Daily Capture'!$L$2:$L$201,'Daily Capture'!$A$2:$A$201,"&gt;="&amp;$C23,'Daily Capture'!$A$2:$A$201,"&lt;="&amp;$D23,'Daily Capture'!$B$2:$B$201,IF($A23="","*", $A23),'Daily Capture'!$C$2:$C$201,IF($B23="","*", $B23),'Daily Capture'!$L$2:$L$201,"&gt;0"))</f>
        <v/>
      </c>
      <c r="J23" s="27" t="str">
        <f>IF($E23=0,"",(COUNTIFS('Daily Capture'!$A$2:$A$201,"&gt;="&amp;$C23,'Daily Capture'!$A$2:$A$201,"&lt;="&amp;$D23,'Daily Capture'!$B$2:$B$201,IF($A23="","*", $A23),'Daily Capture'!$C$2:$C$201,IF($B23="","*", $B23),'Daily Capture'!$M$2:$M$201,"Some")+COUNTIFS('Daily Capture'!$A$2:$A$201,"&gt;="&amp;$C23,'Daily Capture'!$A$2:$A$201,"&lt;="&amp;$D23,'Daily Capture'!$B$2:$B$201,IF($A23="","*", $A23),'Daily Capture'!$C$2:$C$201,IF($B23="","*", $B23),'Daily Capture'!$M$2:$M$201,"A lot"))/$E23)</f>
        <v/>
      </c>
      <c r="K23" s="29" t="str">
        <f t="shared" si="1"/>
        <v/>
      </c>
      <c r="L23" s="29" t="str">
        <f t="shared" si="2"/>
        <v/>
      </c>
      <c r="M23" s="29" t="str">
        <f t="shared" si="3"/>
        <v/>
      </c>
      <c r="N23" s="29" t="str">
        <f t="shared" si="4"/>
        <v/>
      </c>
      <c r="O23" s="29" t="str">
        <f t="shared" si="5"/>
        <v/>
      </c>
      <c r="P23" s="7"/>
      <c r="Q23" s="7"/>
      <c r="R23" s="7"/>
      <c r="S23" s="7"/>
    </row>
    <row r="24" spans="1:19" ht="22.15" customHeight="1" x14ac:dyDescent="0.25">
      <c r="A24" s="6"/>
      <c r="B24" s="6"/>
      <c r="C24" s="26"/>
      <c r="D24" s="26"/>
      <c r="E24">
        <f>COUNTIFS('Daily Capture'!$A$2:$A$201,"&gt;="&amp;$C24,'Daily Capture'!$A$2:$A$201,"&lt;="&amp;$D24,'Daily Capture'!$B$2:$B$201,IF($A24="","*", $A24),'Daily Capture'!$C$2:$C$201,IF($B24="","*", $B24),'Daily Capture'!$E$2:$E$201,"&lt;&gt;")</f>
        <v>0</v>
      </c>
      <c r="F24" s="27" t="str">
        <f>IF($E24=0,"",COUNTIFS('Daily Capture'!$A$2:$A$201,"&gt;="&amp;$C24,'Daily Capture'!$A$2:$A$201,"&lt;="&amp;$D24,'Daily Capture'!$B$2:$B$201,IF($A24="","*", $A24),'Daily Capture'!$C$2:$C$201,IF($B24="","*", $B24),'Daily Capture'!$G$2:$G$201,"Yes")/$E24)</f>
        <v/>
      </c>
      <c r="G24" t="str">
        <f>IF($E24=0,"",SUMIFS('Daily Capture'!$J$2:$J$201,'Daily Capture'!$A$2:$A$201,"&gt;="&amp;$C24,'Daily Capture'!$A$2:$A$201,"&lt;="&amp;$D24,'Daily Capture'!$B$2:$B$201,IF($A24="","*", $A24),'Daily Capture'!$C$2:$C$201,IF($B24="","*", $B24)))</f>
        <v/>
      </c>
      <c r="H24" s="28" t="str">
        <f t="shared" si="0"/>
        <v/>
      </c>
      <c r="I24" s="28" t="str">
        <f>IF($E24=0,"",AVERAGEIFS('Daily Capture'!$L$2:$L$201,'Daily Capture'!$A$2:$A$201,"&gt;="&amp;$C24,'Daily Capture'!$A$2:$A$201,"&lt;="&amp;$D24,'Daily Capture'!$B$2:$B$201,IF($A24="","*", $A24),'Daily Capture'!$C$2:$C$201,IF($B24="","*", $B24),'Daily Capture'!$L$2:$L$201,"&gt;0"))</f>
        <v/>
      </c>
      <c r="J24" s="27" t="str">
        <f>IF($E24=0,"",(COUNTIFS('Daily Capture'!$A$2:$A$201,"&gt;="&amp;$C24,'Daily Capture'!$A$2:$A$201,"&lt;="&amp;$D24,'Daily Capture'!$B$2:$B$201,IF($A24="","*", $A24),'Daily Capture'!$C$2:$C$201,IF($B24="","*", $B24),'Daily Capture'!$M$2:$M$201,"Some")+COUNTIFS('Daily Capture'!$A$2:$A$201,"&gt;="&amp;$C24,'Daily Capture'!$A$2:$A$201,"&lt;="&amp;$D24,'Daily Capture'!$B$2:$B$201,IF($A24="","*", $A24),'Daily Capture'!$C$2:$C$201,IF($B24="","*", $B24),'Daily Capture'!$M$2:$M$201,"A lot"))/$E24)</f>
        <v/>
      </c>
      <c r="K24" s="29" t="str">
        <f t="shared" si="1"/>
        <v/>
      </c>
      <c r="L24" s="29" t="str">
        <f t="shared" si="2"/>
        <v/>
      </c>
      <c r="M24" s="29" t="str">
        <f t="shared" si="3"/>
        <v/>
      </c>
      <c r="N24" s="29" t="str">
        <f t="shared" si="4"/>
        <v/>
      </c>
      <c r="O24" s="29" t="str">
        <f t="shared" si="5"/>
        <v/>
      </c>
      <c r="P24" s="7"/>
      <c r="Q24" s="7"/>
      <c r="R24" s="7"/>
      <c r="S24" s="7"/>
    </row>
    <row r="25" spans="1:19" ht="22.15" customHeight="1" x14ac:dyDescent="0.25">
      <c r="A25" s="6"/>
      <c r="B25" s="6"/>
      <c r="C25" s="26"/>
      <c r="D25" s="26"/>
      <c r="E25">
        <f>COUNTIFS('Daily Capture'!$A$2:$A$201,"&gt;="&amp;$C25,'Daily Capture'!$A$2:$A$201,"&lt;="&amp;$D25,'Daily Capture'!$B$2:$B$201,IF($A25="","*", $A25),'Daily Capture'!$C$2:$C$201,IF($B25="","*", $B25),'Daily Capture'!$E$2:$E$201,"&lt;&gt;")</f>
        <v>0</v>
      </c>
      <c r="F25" s="27" t="str">
        <f>IF($E25=0,"",COUNTIFS('Daily Capture'!$A$2:$A$201,"&gt;="&amp;$C25,'Daily Capture'!$A$2:$A$201,"&lt;="&amp;$D25,'Daily Capture'!$B$2:$B$201,IF($A25="","*", $A25),'Daily Capture'!$C$2:$C$201,IF($B25="","*", $B25),'Daily Capture'!$G$2:$G$201,"Yes")/$E25)</f>
        <v/>
      </c>
      <c r="G25" t="str">
        <f>IF($E25=0,"",SUMIFS('Daily Capture'!$J$2:$J$201,'Daily Capture'!$A$2:$A$201,"&gt;="&amp;$C25,'Daily Capture'!$A$2:$A$201,"&lt;="&amp;$D25,'Daily Capture'!$B$2:$B$201,IF($A25="","*", $A25),'Daily Capture'!$C$2:$C$201,IF($B25="","*", $B25)))</f>
        <v/>
      </c>
      <c r="H25" s="28" t="str">
        <f t="shared" si="0"/>
        <v/>
      </c>
      <c r="I25" s="28" t="str">
        <f>IF($E25=0,"",AVERAGEIFS('Daily Capture'!$L$2:$L$201,'Daily Capture'!$A$2:$A$201,"&gt;="&amp;$C25,'Daily Capture'!$A$2:$A$201,"&lt;="&amp;$D25,'Daily Capture'!$B$2:$B$201,IF($A25="","*", $A25),'Daily Capture'!$C$2:$C$201,IF($B25="","*", $B25),'Daily Capture'!$L$2:$L$201,"&gt;0"))</f>
        <v/>
      </c>
      <c r="J25" s="27" t="str">
        <f>IF($E25=0,"",(COUNTIFS('Daily Capture'!$A$2:$A$201,"&gt;="&amp;$C25,'Daily Capture'!$A$2:$A$201,"&lt;="&amp;$D25,'Daily Capture'!$B$2:$B$201,IF($A25="","*", $A25),'Daily Capture'!$C$2:$C$201,IF($B25="","*", $B25),'Daily Capture'!$M$2:$M$201,"Some")+COUNTIFS('Daily Capture'!$A$2:$A$201,"&gt;="&amp;$C25,'Daily Capture'!$A$2:$A$201,"&lt;="&amp;$D25,'Daily Capture'!$B$2:$B$201,IF($A25="","*", $A25),'Daily Capture'!$C$2:$C$201,IF($B25="","*", $B25),'Daily Capture'!$M$2:$M$201,"A lot"))/$E25)</f>
        <v/>
      </c>
      <c r="K25" s="29" t="str">
        <f t="shared" si="1"/>
        <v/>
      </c>
      <c r="L25" s="29" t="str">
        <f t="shared" si="2"/>
        <v/>
      </c>
      <c r="M25" s="29" t="str">
        <f t="shared" si="3"/>
        <v/>
      </c>
      <c r="N25" s="29" t="str">
        <f t="shared" si="4"/>
        <v/>
      </c>
      <c r="O25" s="29" t="str">
        <f t="shared" si="5"/>
        <v/>
      </c>
      <c r="P25" s="7"/>
      <c r="Q25" s="7"/>
      <c r="R25" s="7"/>
      <c r="S25" s="7"/>
    </row>
    <row r="26" spans="1:19" ht="22.15" customHeight="1" x14ac:dyDescent="0.25">
      <c r="A26" s="6"/>
      <c r="B26" s="6"/>
      <c r="C26" s="26"/>
      <c r="D26" s="26"/>
      <c r="E26">
        <f>COUNTIFS('Daily Capture'!$A$2:$A$201,"&gt;="&amp;$C26,'Daily Capture'!$A$2:$A$201,"&lt;="&amp;$D26,'Daily Capture'!$B$2:$B$201,IF($A26="","*", $A26),'Daily Capture'!$C$2:$C$201,IF($B26="","*", $B26),'Daily Capture'!$E$2:$E$201,"&lt;&gt;")</f>
        <v>0</v>
      </c>
      <c r="F26" s="27" t="str">
        <f>IF($E26=0,"",COUNTIFS('Daily Capture'!$A$2:$A$201,"&gt;="&amp;$C26,'Daily Capture'!$A$2:$A$201,"&lt;="&amp;$D26,'Daily Capture'!$B$2:$B$201,IF($A26="","*", $A26),'Daily Capture'!$C$2:$C$201,IF($B26="","*", $B26),'Daily Capture'!$G$2:$G$201,"Yes")/$E26)</f>
        <v/>
      </c>
      <c r="G26" t="str">
        <f>IF($E26=0,"",SUMIFS('Daily Capture'!$J$2:$J$201,'Daily Capture'!$A$2:$A$201,"&gt;="&amp;$C26,'Daily Capture'!$A$2:$A$201,"&lt;="&amp;$D26,'Daily Capture'!$B$2:$B$201,IF($A26="","*", $A26),'Daily Capture'!$C$2:$C$201,IF($B26="","*", $B26)))</f>
        <v/>
      </c>
      <c r="H26" s="28" t="str">
        <f t="shared" si="0"/>
        <v/>
      </c>
      <c r="I26" s="28" t="str">
        <f>IF($E26=0,"",AVERAGEIFS('Daily Capture'!$L$2:$L$201,'Daily Capture'!$A$2:$A$201,"&gt;="&amp;$C26,'Daily Capture'!$A$2:$A$201,"&lt;="&amp;$D26,'Daily Capture'!$B$2:$B$201,IF($A26="","*", $A26),'Daily Capture'!$C$2:$C$201,IF($B26="","*", $B26),'Daily Capture'!$L$2:$L$201,"&gt;0"))</f>
        <v/>
      </c>
      <c r="J26" s="27" t="str">
        <f>IF($E26=0,"",(COUNTIFS('Daily Capture'!$A$2:$A$201,"&gt;="&amp;$C26,'Daily Capture'!$A$2:$A$201,"&lt;="&amp;$D26,'Daily Capture'!$B$2:$B$201,IF($A26="","*", $A26),'Daily Capture'!$C$2:$C$201,IF($B26="","*", $B26),'Daily Capture'!$M$2:$M$201,"Some")+COUNTIFS('Daily Capture'!$A$2:$A$201,"&gt;="&amp;$C26,'Daily Capture'!$A$2:$A$201,"&lt;="&amp;$D26,'Daily Capture'!$B$2:$B$201,IF($A26="","*", $A26),'Daily Capture'!$C$2:$C$201,IF($B26="","*", $B26),'Daily Capture'!$M$2:$M$201,"A lot"))/$E26)</f>
        <v/>
      </c>
      <c r="K26" s="29" t="str">
        <f t="shared" si="1"/>
        <v/>
      </c>
      <c r="L26" s="29" t="str">
        <f t="shared" si="2"/>
        <v/>
      </c>
      <c r="M26" s="29" t="str">
        <f t="shared" si="3"/>
        <v/>
      </c>
      <c r="N26" s="29" t="str">
        <f t="shared" si="4"/>
        <v/>
      </c>
      <c r="O26" s="29" t="str">
        <f t="shared" si="5"/>
        <v/>
      </c>
      <c r="P26" s="7"/>
      <c r="Q26" s="7"/>
      <c r="R26" s="7"/>
      <c r="S26" s="7"/>
    </row>
    <row r="27" spans="1:19" ht="22.15" customHeight="1" x14ac:dyDescent="0.25">
      <c r="A27" s="6"/>
      <c r="B27" s="6"/>
      <c r="C27" s="26"/>
      <c r="D27" s="26"/>
      <c r="E27">
        <f>COUNTIFS('Daily Capture'!$A$2:$A$201,"&gt;="&amp;$C27,'Daily Capture'!$A$2:$A$201,"&lt;="&amp;$D27,'Daily Capture'!$B$2:$B$201,IF($A27="","*", $A27),'Daily Capture'!$C$2:$C$201,IF($B27="","*", $B27),'Daily Capture'!$E$2:$E$201,"&lt;&gt;")</f>
        <v>0</v>
      </c>
      <c r="F27" s="27" t="str">
        <f>IF($E27=0,"",COUNTIFS('Daily Capture'!$A$2:$A$201,"&gt;="&amp;$C27,'Daily Capture'!$A$2:$A$201,"&lt;="&amp;$D27,'Daily Capture'!$B$2:$B$201,IF($A27="","*", $A27),'Daily Capture'!$C$2:$C$201,IF($B27="","*", $B27),'Daily Capture'!$G$2:$G$201,"Yes")/$E27)</f>
        <v/>
      </c>
      <c r="G27" t="str">
        <f>IF($E27=0,"",SUMIFS('Daily Capture'!$J$2:$J$201,'Daily Capture'!$A$2:$A$201,"&gt;="&amp;$C27,'Daily Capture'!$A$2:$A$201,"&lt;="&amp;$D27,'Daily Capture'!$B$2:$B$201,IF($A27="","*", $A27),'Daily Capture'!$C$2:$C$201,IF($B27="","*", $B27)))</f>
        <v/>
      </c>
      <c r="H27" s="28" t="str">
        <f t="shared" si="0"/>
        <v/>
      </c>
      <c r="I27" s="28" t="str">
        <f>IF($E27=0,"",AVERAGEIFS('Daily Capture'!$L$2:$L$201,'Daily Capture'!$A$2:$A$201,"&gt;="&amp;$C27,'Daily Capture'!$A$2:$A$201,"&lt;="&amp;$D27,'Daily Capture'!$B$2:$B$201,IF($A27="","*", $A27),'Daily Capture'!$C$2:$C$201,IF($B27="","*", $B27),'Daily Capture'!$L$2:$L$201,"&gt;0"))</f>
        <v/>
      </c>
      <c r="J27" s="27" t="str">
        <f>IF($E27=0,"",(COUNTIFS('Daily Capture'!$A$2:$A$201,"&gt;="&amp;$C27,'Daily Capture'!$A$2:$A$201,"&lt;="&amp;$D27,'Daily Capture'!$B$2:$B$201,IF($A27="","*", $A27),'Daily Capture'!$C$2:$C$201,IF($B27="","*", $B27),'Daily Capture'!$M$2:$M$201,"Some")+COUNTIFS('Daily Capture'!$A$2:$A$201,"&gt;="&amp;$C27,'Daily Capture'!$A$2:$A$201,"&lt;="&amp;$D27,'Daily Capture'!$B$2:$B$201,IF($A27="","*", $A27),'Daily Capture'!$C$2:$C$201,IF($B27="","*", $B27),'Daily Capture'!$M$2:$M$201,"A lot"))/$E27)</f>
        <v/>
      </c>
      <c r="K27" s="29" t="str">
        <f t="shared" si="1"/>
        <v/>
      </c>
      <c r="L27" s="29" t="str">
        <f t="shared" si="2"/>
        <v/>
      </c>
      <c r="M27" s="29" t="str">
        <f t="shared" si="3"/>
        <v/>
      </c>
      <c r="N27" s="29" t="str">
        <f t="shared" si="4"/>
        <v/>
      </c>
      <c r="O27" s="29" t="str">
        <f t="shared" si="5"/>
        <v/>
      </c>
      <c r="P27" s="7"/>
      <c r="Q27" s="7"/>
      <c r="R27" s="7"/>
      <c r="S27" s="7"/>
    </row>
    <row r="28" spans="1:19" ht="22.15" customHeight="1" x14ac:dyDescent="0.25">
      <c r="A28" s="6"/>
      <c r="B28" s="6"/>
      <c r="C28" s="26"/>
      <c r="D28" s="26"/>
      <c r="E28">
        <f>COUNTIFS('Daily Capture'!$A$2:$A$201,"&gt;="&amp;$C28,'Daily Capture'!$A$2:$A$201,"&lt;="&amp;$D28,'Daily Capture'!$B$2:$B$201,IF($A28="","*", $A28),'Daily Capture'!$C$2:$C$201,IF($B28="","*", $B28),'Daily Capture'!$E$2:$E$201,"&lt;&gt;")</f>
        <v>0</v>
      </c>
      <c r="F28" s="27" t="str">
        <f>IF($E28=0,"",COUNTIFS('Daily Capture'!$A$2:$A$201,"&gt;="&amp;$C28,'Daily Capture'!$A$2:$A$201,"&lt;="&amp;$D28,'Daily Capture'!$B$2:$B$201,IF($A28="","*", $A28),'Daily Capture'!$C$2:$C$201,IF($B28="","*", $B28),'Daily Capture'!$G$2:$G$201,"Yes")/$E28)</f>
        <v/>
      </c>
      <c r="G28" t="str">
        <f>IF($E28=0,"",SUMIFS('Daily Capture'!$J$2:$J$201,'Daily Capture'!$A$2:$A$201,"&gt;="&amp;$C28,'Daily Capture'!$A$2:$A$201,"&lt;="&amp;$D28,'Daily Capture'!$B$2:$B$201,IF($A28="","*", $A28),'Daily Capture'!$C$2:$C$201,IF($B28="","*", $B28)))</f>
        <v/>
      </c>
      <c r="H28" s="28" t="str">
        <f t="shared" si="0"/>
        <v/>
      </c>
      <c r="I28" s="28" t="str">
        <f>IF($E28=0,"",AVERAGEIFS('Daily Capture'!$L$2:$L$201,'Daily Capture'!$A$2:$A$201,"&gt;="&amp;$C28,'Daily Capture'!$A$2:$A$201,"&lt;="&amp;$D28,'Daily Capture'!$B$2:$B$201,IF($A28="","*", $A28),'Daily Capture'!$C$2:$C$201,IF($B28="","*", $B28),'Daily Capture'!$L$2:$L$201,"&gt;0"))</f>
        <v/>
      </c>
      <c r="J28" s="27" t="str">
        <f>IF($E28=0,"",(COUNTIFS('Daily Capture'!$A$2:$A$201,"&gt;="&amp;$C28,'Daily Capture'!$A$2:$A$201,"&lt;="&amp;$D28,'Daily Capture'!$B$2:$B$201,IF($A28="","*", $A28),'Daily Capture'!$C$2:$C$201,IF($B28="","*", $B28),'Daily Capture'!$M$2:$M$201,"Some")+COUNTIFS('Daily Capture'!$A$2:$A$201,"&gt;="&amp;$C28,'Daily Capture'!$A$2:$A$201,"&lt;="&amp;$D28,'Daily Capture'!$B$2:$B$201,IF($A28="","*", $A28),'Daily Capture'!$C$2:$C$201,IF($B28="","*", $B28),'Daily Capture'!$M$2:$M$201,"A lot"))/$E28)</f>
        <v/>
      </c>
      <c r="K28" s="29" t="str">
        <f t="shared" si="1"/>
        <v/>
      </c>
      <c r="L28" s="29" t="str">
        <f t="shared" si="2"/>
        <v/>
      </c>
      <c r="M28" s="29" t="str">
        <f t="shared" si="3"/>
        <v/>
      </c>
      <c r="N28" s="29" t="str">
        <f t="shared" si="4"/>
        <v/>
      </c>
      <c r="O28" s="29" t="str">
        <f t="shared" si="5"/>
        <v/>
      </c>
      <c r="P28" s="7"/>
      <c r="Q28" s="7"/>
      <c r="R28" s="7"/>
      <c r="S28" s="7"/>
    </row>
    <row r="29" spans="1:19" ht="22.15" customHeight="1" x14ac:dyDescent="0.25">
      <c r="A29" s="6"/>
      <c r="B29" s="6"/>
      <c r="C29" s="26"/>
      <c r="D29" s="26"/>
      <c r="E29">
        <f>COUNTIFS('Daily Capture'!$A$2:$A$201,"&gt;="&amp;$C29,'Daily Capture'!$A$2:$A$201,"&lt;="&amp;$D29,'Daily Capture'!$B$2:$B$201,IF($A29="","*", $A29),'Daily Capture'!$C$2:$C$201,IF($B29="","*", $B29),'Daily Capture'!$E$2:$E$201,"&lt;&gt;")</f>
        <v>0</v>
      </c>
      <c r="F29" s="27" t="str">
        <f>IF($E29=0,"",COUNTIFS('Daily Capture'!$A$2:$A$201,"&gt;="&amp;$C29,'Daily Capture'!$A$2:$A$201,"&lt;="&amp;$D29,'Daily Capture'!$B$2:$B$201,IF($A29="","*", $A29),'Daily Capture'!$C$2:$C$201,IF($B29="","*", $B29),'Daily Capture'!$G$2:$G$201,"Yes")/$E29)</f>
        <v/>
      </c>
      <c r="G29" t="str">
        <f>IF($E29=0,"",SUMIFS('Daily Capture'!$J$2:$J$201,'Daily Capture'!$A$2:$A$201,"&gt;="&amp;$C29,'Daily Capture'!$A$2:$A$201,"&lt;="&amp;$D29,'Daily Capture'!$B$2:$B$201,IF($A29="","*", $A29),'Daily Capture'!$C$2:$C$201,IF($B29="","*", $B29)))</f>
        <v/>
      </c>
      <c r="H29" s="28" t="str">
        <f t="shared" si="0"/>
        <v/>
      </c>
      <c r="I29" s="28" t="str">
        <f>IF($E29=0,"",AVERAGEIFS('Daily Capture'!$L$2:$L$201,'Daily Capture'!$A$2:$A$201,"&gt;="&amp;$C29,'Daily Capture'!$A$2:$A$201,"&lt;="&amp;$D29,'Daily Capture'!$B$2:$B$201,IF($A29="","*", $A29),'Daily Capture'!$C$2:$C$201,IF($B29="","*", $B29),'Daily Capture'!$L$2:$L$201,"&gt;0"))</f>
        <v/>
      </c>
      <c r="J29" s="27" t="str">
        <f>IF($E29=0,"",(COUNTIFS('Daily Capture'!$A$2:$A$201,"&gt;="&amp;$C29,'Daily Capture'!$A$2:$A$201,"&lt;="&amp;$D29,'Daily Capture'!$B$2:$B$201,IF($A29="","*", $A29),'Daily Capture'!$C$2:$C$201,IF($B29="","*", $B29),'Daily Capture'!$M$2:$M$201,"Some")+COUNTIFS('Daily Capture'!$A$2:$A$201,"&gt;="&amp;$C29,'Daily Capture'!$A$2:$A$201,"&lt;="&amp;$D29,'Daily Capture'!$B$2:$B$201,IF($A29="","*", $A29),'Daily Capture'!$C$2:$C$201,IF($B29="","*", $B29),'Daily Capture'!$M$2:$M$201,"A lot"))/$E29)</f>
        <v/>
      </c>
      <c r="K29" s="29" t="str">
        <f t="shared" si="1"/>
        <v/>
      </c>
      <c r="L29" s="29" t="str">
        <f t="shared" si="2"/>
        <v/>
      </c>
      <c r="M29" s="29" t="str">
        <f t="shared" si="3"/>
        <v/>
      </c>
      <c r="N29" s="29" t="str">
        <f t="shared" si="4"/>
        <v/>
      </c>
      <c r="O29" s="29" t="str">
        <f t="shared" si="5"/>
        <v/>
      </c>
      <c r="P29" s="7"/>
      <c r="Q29" s="7"/>
      <c r="R29" s="7"/>
      <c r="S29" s="7"/>
    </row>
    <row r="30" spans="1:19" ht="22.15" customHeight="1" x14ac:dyDescent="0.25">
      <c r="A30" s="6"/>
      <c r="B30" s="6"/>
      <c r="C30" s="26"/>
      <c r="D30" s="26"/>
      <c r="E30">
        <f>COUNTIFS('Daily Capture'!$A$2:$A$201,"&gt;="&amp;$C30,'Daily Capture'!$A$2:$A$201,"&lt;="&amp;$D30,'Daily Capture'!$B$2:$B$201,IF($A30="","*", $A30),'Daily Capture'!$C$2:$C$201,IF($B30="","*", $B30),'Daily Capture'!$E$2:$E$201,"&lt;&gt;")</f>
        <v>0</v>
      </c>
      <c r="F30" s="27" t="str">
        <f>IF($E30=0,"",COUNTIFS('Daily Capture'!$A$2:$A$201,"&gt;="&amp;$C30,'Daily Capture'!$A$2:$A$201,"&lt;="&amp;$D30,'Daily Capture'!$B$2:$B$201,IF($A30="","*", $A30),'Daily Capture'!$C$2:$C$201,IF($B30="","*", $B30),'Daily Capture'!$G$2:$G$201,"Yes")/$E30)</f>
        <v/>
      </c>
      <c r="G30" t="str">
        <f>IF($E30=0,"",SUMIFS('Daily Capture'!$J$2:$J$201,'Daily Capture'!$A$2:$A$201,"&gt;="&amp;$C30,'Daily Capture'!$A$2:$A$201,"&lt;="&amp;$D30,'Daily Capture'!$B$2:$B$201,IF($A30="","*", $A30),'Daily Capture'!$C$2:$C$201,IF($B30="","*", $B30)))</f>
        <v/>
      </c>
      <c r="H30" s="28" t="str">
        <f t="shared" si="0"/>
        <v/>
      </c>
      <c r="I30" s="28" t="str">
        <f>IF($E30=0,"",AVERAGEIFS('Daily Capture'!$L$2:$L$201,'Daily Capture'!$A$2:$A$201,"&gt;="&amp;$C30,'Daily Capture'!$A$2:$A$201,"&lt;="&amp;$D30,'Daily Capture'!$B$2:$B$201,IF($A30="","*", $A30),'Daily Capture'!$C$2:$C$201,IF($B30="","*", $B30),'Daily Capture'!$L$2:$L$201,"&gt;0"))</f>
        <v/>
      </c>
      <c r="J30" s="27" t="str">
        <f>IF($E30=0,"",(COUNTIFS('Daily Capture'!$A$2:$A$201,"&gt;="&amp;$C30,'Daily Capture'!$A$2:$A$201,"&lt;="&amp;$D30,'Daily Capture'!$B$2:$B$201,IF($A30="","*", $A30),'Daily Capture'!$C$2:$C$201,IF($B30="","*", $B30),'Daily Capture'!$M$2:$M$201,"Some")+COUNTIFS('Daily Capture'!$A$2:$A$201,"&gt;="&amp;$C30,'Daily Capture'!$A$2:$A$201,"&lt;="&amp;$D30,'Daily Capture'!$B$2:$B$201,IF($A30="","*", $A30),'Daily Capture'!$C$2:$C$201,IF($B30="","*", $B30),'Daily Capture'!$M$2:$M$201,"A lot"))/$E30)</f>
        <v/>
      </c>
      <c r="K30" s="29" t="str">
        <f t="shared" si="1"/>
        <v/>
      </c>
      <c r="L30" s="29" t="str">
        <f t="shared" si="2"/>
        <v/>
      </c>
      <c r="M30" s="29" t="str">
        <f t="shared" si="3"/>
        <v/>
      </c>
      <c r="N30" s="29" t="str">
        <f t="shared" si="4"/>
        <v/>
      </c>
      <c r="O30" s="29" t="str">
        <f t="shared" si="5"/>
        <v/>
      </c>
      <c r="P30" s="7"/>
      <c r="Q30" s="7"/>
      <c r="R30" s="7"/>
      <c r="S30" s="7"/>
    </row>
    <row r="31" spans="1:19" ht="22.15" customHeight="1" x14ac:dyDescent="0.25">
      <c r="A31" s="6"/>
      <c r="B31" s="6"/>
      <c r="C31" s="26"/>
      <c r="D31" s="26"/>
      <c r="E31">
        <f>COUNTIFS('Daily Capture'!$A$2:$A$201,"&gt;="&amp;$C31,'Daily Capture'!$A$2:$A$201,"&lt;="&amp;$D31,'Daily Capture'!$B$2:$B$201,IF($A31="","*", $A31),'Daily Capture'!$C$2:$C$201,IF($B31="","*", $B31),'Daily Capture'!$E$2:$E$201,"&lt;&gt;")</f>
        <v>0</v>
      </c>
      <c r="F31" s="27" t="str">
        <f>IF($E31=0,"",COUNTIFS('Daily Capture'!$A$2:$A$201,"&gt;="&amp;$C31,'Daily Capture'!$A$2:$A$201,"&lt;="&amp;$D31,'Daily Capture'!$B$2:$B$201,IF($A31="","*", $A31),'Daily Capture'!$C$2:$C$201,IF($B31="","*", $B31),'Daily Capture'!$G$2:$G$201,"Yes")/$E31)</f>
        <v/>
      </c>
      <c r="G31" t="str">
        <f>IF($E31=0,"",SUMIFS('Daily Capture'!$J$2:$J$201,'Daily Capture'!$A$2:$A$201,"&gt;="&amp;$C31,'Daily Capture'!$A$2:$A$201,"&lt;="&amp;$D31,'Daily Capture'!$B$2:$B$201,IF($A31="","*", $A31),'Daily Capture'!$C$2:$C$201,IF($B31="","*", $B31)))</f>
        <v/>
      </c>
      <c r="H31" s="28" t="str">
        <f t="shared" si="0"/>
        <v/>
      </c>
      <c r="I31" s="28" t="str">
        <f>IF($E31=0,"",AVERAGEIFS('Daily Capture'!$L$2:$L$201,'Daily Capture'!$A$2:$A$201,"&gt;="&amp;$C31,'Daily Capture'!$A$2:$A$201,"&lt;="&amp;$D31,'Daily Capture'!$B$2:$B$201,IF($A31="","*", $A31),'Daily Capture'!$C$2:$C$201,IF($B31="","*", $B31),'Daily Capture'!$L$2:$L$201,"&gt;0"))</f>
        <v/>
      </c>
      <c r="J31" s="27" t="str">
        <f>IF($E31=0,"",(COUNTIFS('Daily Capture'!$A$2:$A$201,"&gt;="&amp;$C31,'Daily Capture'!$A$2:$A$201,"&lt;="&amp;$D31,'Daily Capture'!$B$2:$B$201,IF($A31="","*", $A31),'Daily Capture'!$C$2:$C$201,IF($B31="","*", $B31),'Daily Capture'!$M$2:$M$201,"Some")+COUNTIFS('Daily Capture'!$A$2:$A$201,"&gt;="&amp;$C31,'Daily Capture'!$A$2:$A$201,"&lt;="&amp;$D31,'Daily Capture'!$B$2:$B$201,IF($A31="","*", $A31),'Daily Capture'!$C$2:$C$201,IF($B31="","*", $B31),'Daily Capture'!$M$2:$M$201,"A lot"))/$E31)</f>
        <v/>
      </c>
      <c r="K31" s="29" t="str">
        <f t="shared" si="1"/>
        <v/>
      </c>
      <c r="L31" s="29" t="str">
        <f t="shared" si="2"/>
        <v/>
      </c>
      <c r="M31" s="29" t="str">
        <f t="shared" si="3"/>
        <v/>
      </c>
      <c r="N31" s="29" t="str">
        <f t="shared" si="4"/>
        <v/>
      </c>
      <c r="O31" s="29" t="str">
        <f t="shared" si="5"/>
        <v/>
      </c>
      <c r="P31" s="7"/>
      <c r="Q31" s="7"/>
      <c r="R31" s="7"/>
      <c r="S31" s="7"/>
    </row>
    <row r="32" spans="1:19" ht="22.15" customHeight="1" x14ac:dyDescent="0.25">
      <c r="A32" s="6"/>
      <c r="B32" s="6"/>
      <c r="C32" s="26"/>
      <c r="D32" s="26"/>
      <c r="E32">
        <f>COUNTIFS('Daily Capture'!$A$2:$A$201,"&gt;="&amp;$C32,'Daily Capture'!$A$2:$A$201,"&lt;="&amp;$D32,'Daily Capture'!$B$2:$B$201,IF($A32="","*", $A32),'Daily Capture'!$C$2:$C$201,IF($B32="","*", $B32),'Daily Capture'!$E$2:$E$201,"&lt;&gt;")</f>
        <v>0</v>
      </c>
      <c r="F32" s="27" t="str">
        <f>IF($E32=0,"",COUNTIFS('Daily Capture'!$A$2:$A$201,"&gt;="&amp;$C32,'Daily Capture'!$A$2:$A$201,"&lt;="&amp;$D32,'Daily Capture'!$B$2:$B$201,IF($A32="","*", $A32),'Daily Capture'!$C$2:$C$201,IF($B32="","*", $B32),'Daily Capture'!$G$2:$G$201,"Yes")/$E32)</f>
        <v/>
      </c>
      <c r="G32" t="str">
        <f>IF($E32=0,"",SUMIFS('Daily Capture'!$J$2:$J$201,'Daily Capture'!$A$2:$A$201,"&gt;="&amp;$C32,'Daily Capture'!$A$2:$A$201,"&lt;="&amp;$D32,'Daily Capture'!$B$2:$B$201,IF($A32="","*", $A32),'Daily Capture'!$C$2:$C$201,IF($B32="","*", $B32)))</f>
        <v/>
      </c>
      <c r="H32" s="28" t="str">
        <f t="shared" si="0"/>
        <v/>
      </c>
      <c r="I32" s="28" t="str">
        <f>IF($E32=0,"",AVERAGEIFS('Daily Capture'!$L$2:$L$201,'Daily Capture'!$A$2:$A$201,"&gt;="&amp;$C32,'Daily Capture'!$A$2:$A$201,"&lt;="&amp;$D32,'Daily Capture'!$B$2:$B$201,IF($A32="","*", $A32),'Daily Capture'!$C$2:$C$201,IF($B32="","*", $B32),'Daily Capture'!$L$2:$L$201,"&gt;0"))</f>
        <v/>
      </c>
      <c r="J32" s="27" t="str">
        <f>IF($E32=0,"",(COUNTIFS('Daily Capture'!$A$2:$A$201,"&gt;="&amp;$C32,'Daily Capture'!$A$2:$A$201,"&lt;="&amp;$D32,'Daily Capture'!$B$2:$B$201,IF($A32="","*", $A32),'Daily Capture'!$C$2:$C$201,IF($B32="","*", $B32),'Daily Capture'!$M$2:$M$201,"Some")+COUNTIFS('Daily Capture'!$A$2:$A$201,"&gt;="&amp;$C32,'Daily Capture'!$A$2:$A$201,"&lt;="&amp;$D32,'Daily Capture'!$B$2:$B$201,IF($A32="","*", $A32),'Daily Capture'!$C$2:$C$201,IF($B32="","*", $B32),'Daily Capture'!$M$2:$M$201,"A lot"))/$E32)</f>
        <v/>
      </c>
      <c r="K32" s="29" t="str">
        <f t="shared" si="1"/>
        <v/>
      </c>
      <c r="L32" s="29" t="str">
        <f t="shared" si="2"/>
        <v/>
      </c>
      <c r="M32" s="29" t="str">
        <f t="shared" si="3"/>
        <v/>
      </c>
      <c r="N32" s="29" t="str">
        <f t="shared" si="4"/>
        <v/>
      </c>
      <c r="O32" s="29" t="str">
        <f t="shared" si="5"/>
        <v/>
      </c>
      <c r="P32" s="7"/>
      <c r="Q32" s="7"/>
      <c r="R32" s="7"/>
      <c r="S32" s="7"/>
    </row>
    <row r="33" spans="1:19" ht="22.15" customHeight="1" x14ac:dyDescent="0.25">
      <c r="A33" s="6"/>
      <c r="B33" s="6"/>
      <c r="C33" s="26"/>
      <c r="D33" s="26"/>
      <c r="E33">
        <f>COUNTIFS('Daily Capture'!$A$2:$A$201,"&gt;="&amp;$C33,'Daily Capture'!$A$2:$A$201,"&lt;="&amp;$D33,'Daily Capture'!$B$2:$B$201,IF($A33="","*", $A33),'Daily Capture'!$C$2:$C$201,IF($B33="","*", $B33),'Daily Capture'!$E$2:$E$201,"&lt;&gt;")</f>
        <v>0</v>
      </c>
      <c r="F33" s="27" t="str">
        <f>IF($E33=0,"",COUNTIFS('Daily Capture'!$A$2:$A$201,"&gt;="&amp;$C33,'Daily Capture'!$A$2:$A$201,"&lt;="&amp;$D33,'Daily Capture'!$B$2:$B$201,IF($A33="","*", $A33),'Daily Capture'!$C$2:$C$201,IF($B33="","*", $B33),'Daily Capture'!$G$2:$G$201,"Yes")/$E33)</f>
        <v/>
      </c>
      <c r="G33" t="str">
        <f>IF($E33=0,"",SUMIFS('Daily Capture'!$J$2:$J$201,'Daily Capture'!$A$2:$A$201,"&gt;="&amp;$C33,'Daily Capture'!$A$2:$A$201,"&lt;="&amp;$D33,'Daily Capture'!$B$2:$B$201,IF($A33="","*", $A33),'Daily Capture'!$C$2:$C$201,IF($B33="","*", $B33)))</f>
        <v/>
      </c>
      <c r="H33" s="28" t="str">
        <f t="shared" si="0"/>
        <v/>
      </c>
      <c r="I33" s="28" t="str">
        <f>IF($E33=0,"",AVERAGEIFS('Daily Capture'!$L$2:$L$201,'Daily Capture'!$A$2:$A$201,"&gt;="&amp;$C33,'Daily Capture'!$A$2:$A$201,"&lt;="&amp;$D33,'Daily Capture'!$B$2:$B$201,IF($A33="","*", $A33),'Daily Capture'!$C$2:$C$201,IF($B33="","*", $B33),'Daily Capture'!$L$2:$L$201,"&gt;0"))</f>
        <v/>
      </c>
      <c r="J33" s="27" t="str">
        <f>IF($E33=0,"",(COUNTIFS('Daily Capture'!$A$2:$A$201,"&gt;="&amp;$C33,'Daily Capture'!$A$2:$A$201,"&lt;="&amp;$D33,'Daily Capture'!$B$2:$B$201,IF($A33="","*", $A33),'Daily Capture'!$C$2:$C$201,IF($B33="","*", $B33),'Daily Capture'!$M$2:$M$201,"Some")+COUNTIFS('Daily Capture'!$A$2:$A$201,"&gt;="&amp;$C33,'Daily Capture'!$A$2:$A$201,"&lt;="&amp;$D33,'Daily Capture'!$B$2:$B$201,IF($A33="","*", $A33),'Daily Capture'!$C$2:$C$201,IF($B33="","*", $B33),'Daily Capture'!$M$2:$M$201,"A lot"))/$E33)</f>
        <v/>
      </c>
      <c r="K33" s="29" t="str">
        <f t="shared" si="1"/>
        <v/>
      </c>
      <c r="L33" s="29" t="str">
        <f t="shared" si="2"/>
        <v/>
      </c>
      <c r="M33" s="29" t="str">
        <f t="shared" si="3"/>
        <v/>
      </c>
      <c r="N33" s="29" t="str">
        <f t="shared" si="4"/>
        <v/>
      </c>
      <c r="O33" s="29" t="str">
        <f t="shared" si="5"/>
        <v/>
      </c>
      <c r="P33" s="7"/>
      <c r="Q33" s="7"/>
      <c r="R33" s="7"/>
      <c r="S33" s="7"/>
    </row>
    <row r="34" spans="1:19" ht="22.15" customHeight="1" x14ac:dyDescent="0.25">
      <c r="A34" s="6"/>
      <c r="B34" s="6"/>
      <c r="C34" s="26"/>
      <c r="D34" s="26"/>
      <c r="E34">
        <f>COUNTIFS('Daily Capture'!$A$2:$A$201,"&gt;="&amp;$C34,'Daily Capture'!$A$2:$A$201,"&lt;="&amp;$D34,'Daily Capture'!$B$2:$B$201,IF($A34="","*", $A34),'Daily Capture'!$C$2:$C$201,IF($B34="","*", $B34),'Daily Capture'!$E$2:$E$201,"&lt;&gt;")</f>
        <v>0</v>
      </c>
      <c r="F34" s="27" t="str">
        <f>IF($E34=0,"",COUNTIFS('Daily Capture'!$A$2:$A$201,"&gt;="&amp;$C34,'Daily Capture'!$A$2:$A$201,"&lt;="&amp;$D34,'Daily Capture'!$B$2:$B$201,IF($A34="","*", $A34),'Daily Capture'!$C$2:$C$201,IF($B34="","*", $B34),'Daily Capture'!$G$2:$G$201,"Yes")/$E34)</f>
        <v/>
      </c>
      <c r="G34" t="str">
        <f>IF($E34=0,"",SUMIFS('Daily Capture'!$J$2:$J$201,'Daily Capture'!$A$2:$A$201,"&gt;="&amp;$C34,'Daily Capture'!$A$2:$A$201,"&lt;="&amp;$D34,'Daily Capture'!$B$2:$B$201,IF($A34="","*", $A34),'Daily Capture'!$C$2:$C$201,IF($B34="","*", $B34)))</f>
        <v/>
      </c>
      <c r="H34" s="28" t="str">
        <f t="shared" si="0"/>
        <v/>
      </c>
      <c r="I34" s="28" t="str">
        <f>IF($E34=0,"",AVERAGEIFS('Daily Capture'!$L$2:$L$201,'Daily Capture'!$A$2:$A$201,"&gt;="&amp;$C34,'Daily Capture'!$A$2:$A$201,"&lt;="&amp;$D34,'Daily Capture'!$B$2:$B$201,IF($A34="","*", $A34),'Daily Capture'!$C$2:$C$201,IF($B34="","*", $B34),'Daily Capture'!$L$2:$L$201,"&gt;0"))</f>
        <v/>
      </c>
      <c r="J34" s="27" t="str">
        <f>IF($E34=0,"",(COUNTIFS('Daily Capture'!$A$2:$A$201,"&gt;="&amp;$C34,'Daily Capture'!$A$2:$A$201,"&lt;="&amp;$D34,'Daily Capture'!$B$2:$B$201,IF($A34="","*", $A34),'Daily Capture'!$C$2:$C$201,IF($B34="","*", $B34),'Daily Capture'!$M$2:$M$201,"Some")+COUNTIFS('Daily Capture'!$A$2:$A$201,"&gt;="&amp;$C34,'Daily Capture'!$A$2:$A$201,"&lt;="&amp;$D34,'Daily Capture'!$B$2:$B$201,IF($A34="","*", $A34),'Daily Capture'!$C$2:$C$201,IF($B34="","*", $B34),'Daily Capture'!$M$2:$M$201,"A lot"))/$E34)</f>
        <v/>
      </c>
      <c r="K34" s="29" t="str">
        <f t="shared" si="1"/>
        <v/>
      </c>
      <c r="L34" s="29" t="str">
        <f t="shared" si="2"/>
        <v/>
      </c>
      <c r="M34" s="29" t="str">
        <f t="shared" si="3"/>
        <v/>
      </c>
      <c r="N34" s="29" t="str">
        <f t="shared" si="4"/>
        <v/>
      </c>
      <c r="O34" s="29" t="str">
        <f t="shared" si="5"/>
        <v/>
      </c>
      <c r="P34" s="7"/>
      <c r="Q34" s="7"/>
      <c r="R34" s="7"/>
      <c r="S34" s="7"/>
    </row>
    <row r="35" spans="1:19" ht="22.15" customHeight="1" x14ac:dyDescent="0.25">
      <c r="A35" s="6"/>
      <c r="B35" s="6"/>
      <c r="C35" s="26"/>
      <c r="D35" s="26"/>
      <c r="E35">
        <f>COUNTIFS('Daily Capture'!$A$2:$A$201,"&gt;="&amp;$C35,'Daily Capture'!$A$2:$A$201,"&lt;="&amp;$D35,'Daily Capture'!$B$2:$B$201,IF($A35="","*", $A35),'Daily Capture'!$C$2:$C$201,IF($B35="","*", $B35),'Daily Capture'!$E$2:$E$201,"&lt;&gt;")</f>
        <v>0</v>
      </c>
      <c r="F35" s="27" t="str">
        <f>IF($E35=0,"",COUNTIFS('Daily Capture'!$A$2:$A$201,"&gt;="&amp;$C35,'Daily Capture'!$A$2:$A$201,"&lt;="&amp;$D35,'Daily Capture'!$B$2:$B$201,IF($A35="","*", $A35),'Daily Capture'!$C$2:$C$201,IF($B35="","*", $B35),'Daily Capture'!$G$2:$G$201,"Yes")/$E35)</f>
        <v/>
      </c>
      <c r="G35" t="str">
        <f>IF($E35=0,"",SUMIFS('Daily Capture'!$J$2:$J$201,'Daily Capture'!$A$2:$A$201,"&gt;="&amp;$C35,'Daily Capture'!$A$2:$A$201,"&lt;="&amp;$D35,'Daily Capture'!$B$2:$B$201,IF($A35="","*", $A35),'Daily Capture'!$C$2:$C$201,IF($B35="","*", $B35)))</f>
        <v/>
      </c>
      <c r="H35" s="28" t="str">
        <f t="shared" si="0"/>
        <v/>
      </c>
      <c r="I35" s="28" t="str">
        <f>IF($E35=0,"",AVERAGEIFS('Daily Capture'!$L$2:$L$201,'Daily Capture'!$A$2:$A$201,"&gt;="&amp;$C35,'Daily Capture'!$A$2:$A$201,"&lt;="&amp;$D35,'Daily Capture'!$B$2:$B$201,IF($A35="","*", $A35),'Daily Capture'!$C$2:$C$201,IF($B35="","*", $B35),'Daily Capture'!$L$2:$L$201,"&gt;0"))</f>
        <v/>
      </c>
      <c r="J35" s="27" t="str">
        <f>IF($E35=0,"",(COUNTIFS('Daily Capture'!$A$2:$A$201,"&gt;="&amp;$C35,'Daily Capture'!$A$2:$A$201,"&lt;="&amp;$D35,'Daily Capture'!$B$2:$B$201,IF($A35="","*", $A35),'Daily Capture'!$C$2:$C$201,IF($B35="","*", $B35),'Daily Capture'!$M$2:$M$201,"Some")+COUNTIFS('Daily Capture'!$A$2:$A$201,"&gt;="&amp;$C35,'Daily Capture'!$A$2:$A$201,"&lt;="&amp;$D35,'Daily Capture'!$B$2:$B$201,IF($A35="","*", $A35),'Daily Capture'!$C$2:$C$201,IF($B35="","*", $B35),'Daily Capture'!$M$2:$M$201,"A lot"))/$E35)</f>
        <v/>
      </c>
      <c r="K35" s="29" t="str">
        <f t="shared" si="1"/>
        <v/>
      </c>
      <c r="L35" s="29" t="str">
        <f t="shared" si="2"/>
        <v/>
      </c>
      <c r="M35" s="29" t="str">
        <f t="shared" si="3"/>
        <v/>
      </c>
      <c r="N35" s="29" t="str">
        <f t="shared" si="4"/>
        <v/>
      </c>
      <c r="O35" s="29" t="str">
        <f t="shared" si="5"/>
        <v/>
      </c>
      <c r="P35" s="7"/>
      <c r="Q35" s="7"/>
      <c r="R35" s="7"/>
      <c r="S35" s="7"/>
    </row>
    <row r="36" spans="1:19" ht="22.15" customHeight="1" x14ac:dyDescent="0.25">
      <c r="A36" s="6"/>
      <c r="B36" s="6"/>
      <c r="C36" s="26"/>
      <c r="D36" s="26"/>
      <c r="E36">
        <f>COUNTIFS('Daily Capture'!$A$2:$A$201,"&gt;="&amp;$C36,'Daily Capture'!$A$2:$A$201,"&lt;="&amp;$D36,'Daily Capture'!$B$2:$B$201,IF($A36="","*", $A36),'Daily Capture'!$C$2:$C$201,IF($B36="","*", $B36),'Daily Capture'!$E$2:$E$201,"&lt;&gt;")</f>
        <v>0</v>
      </c>
      <c r="F36" s="27" t="str">
        <f>IF($E36=0,"",COUNTIFS('Daily Capture'!$A$2:$A$201,"&gt;="&amp;$C36,'Daily Capture'!$A$2:$A$201,"&lt;="&amp;$D36,'Daily Capture'!$B$2:$B$201,IF($A36="","*", $A36),'Daily Capture'!$C$2:$C$201,IF($B36="","*", $B36),'Daily Capture'!$G$2:$G$201,"Yes")/$E36)</f>
        <v/>
      </c>
      <c r="G36" t="str">
        <f>IF($E36=0,"",SUMIFS('Daily Capture'!$J$2:$J$201,'Daily Capture'!$A$2:$A$201,"&gt;="&amp;$C36,'Daily Capture'!$A$2:$A$201,"&lt;="&amp;$D36,'Daily Capture'!$B$2:$B$201,IF($A36="","*", $A36),'Daily Capture'!$C$2:$C$201,IF($B36="","*", $B36)))</f>
        <v/>
      </c>
      <c r="H36" s="28" t="str">
        <f t="shared" si="0"/>
        <v/>
      </c>
      <c r="I36" s="28" t="str">
        <f>IF($E36=0,"",AVERAGEIFS('Daily Capture'!$L$2:$L$201,'Daily Capture'!$A$2:$A$201,"&gt;="&amp;$C36,'Daily Capture'!$A$2:$A$201,"&lt;="&amp;$D36,'Daily Capture'!$B$2:$B$201,IF($A36="","*", $A36),'Daily Capture'!$C$2:$C$201,IF($B36="","*", $B36),'Daily Capture'!$L$2:$L$201,"&gt;0"))</f>
        <v/>
      </c>
      <c r="J36" s="27" t="str">
        <f>IF($E36=0,"",(COUNTIFS('Daily Capture'!$A$2:$A$201,"&gt;="&amp;$C36,'Daily Capture'!$A$2:$A$201,"&lt;="&amp;$D36,'Daily Capture'!$B$2:$B$201,IF($A36="","*", $A36),'Daily Capture'!$C$2:$C$201,IF($B36="","*", $B36),'Daily Capture'!$M$2:$M$201,"Some")+COUNTIFS('Daily Capture'!$A$2:$A$201,"&gt;="&amp;$C36,'Daily Capture'!$A$2:$A$201,"&lt;="&amp;$D36,'Daily Capture'!$B$2:$B$201,IF($A36="","*", $A36),'Daily Capture'!$C$2:$C$201,IF($B36="","*", $B36),'Daily Capture'!$M$2:$M$201,"A lot"))/$E36)</f>
        <v/>
      </c>
      <c r="K36" s="29" t="str">
        <f t="shared" si="1"/>
        <v/>
      </c>
      <c r="L36" s="29" t="str">
        <f t="shared" si="2"/>
        <v/>
      </c>
      <c r="M36" s="29" t="str">
        <f t="shared" si="3"/>
        <v/>
      </c>
      <c r="N36" s="29" t="str">
        <f t="shared" si="4"/>
        <v/>
      </c>
      <c r="O36" s="29" t="str">
        <f t="shared" si="5"/>
        <v/>
      </c>
      <c r="P36" s="7"/>
      <c r="Q36" s="7"/>
      <c r="R36" s="7"/>
      <c r="S36" s="7"/>
    </row>
    <row r="37" spans="1:19" ht="22.15" customHeight="1" x14ac:dyDescent="0.25">
      <c r="A37" s="6"/>
      <c r="B37" s="6"/>
      <c r="C37" s="26"/>
      <c r="D37" s="26"/>
      <c r="E37">
        <f>COUNTIFS('Daily Capture'!$A$2:$A$201,"&gt;="&amp;$C37,'Daily Capture'!$A$2:$A$201,"&lt;="&amp;$D37,'Daily Capture'!$B$2:$B$201,IF($A37="","*", $A37),'Daily Capture'!$C$2:$C$201,IF($B37="","*", $B37),'Daily Capture'!$E$2:$E$201,"&lt;&gt;")</f>
        <v>0</v>
      </c>
      <c r="F37" s="27" t="str">
        <f>IF($E37=0,"",COUNTIFS('Daily Capture'!$A$2:$A$201,"&gt;="&amp;$C37,'Daily Capture'!$A$2:$A$201,"&lt;="&amp;$D37,'Daily Capture'!$B$2:$B$201,IF($A37="","*", $A37),'Daily Capture'!$C$2:$C$201,IF($B37="","*", $B37),'Daily Capture'!$G$2:$G$201,"Yes")/$E37)</f>
        <v/>
      </c>
      <c r="G37" t="str">
        <f>IF($E37=0,"",SUMIFS('Daily Capture'!$J$2:$J$201,'Daily Capture'!$A$2:$A$201,"&gt;="&amp;$C37,'Daily Capture'!$A$2:$A$201,"&lt;="&amp;$D37,'Daily Capture'!$B$2:$B$201,IF($A37="","*", $A37),'Daily Capture'!$C$2:$C$201,IF($B37="","*", $B37)))</f>
        <v/>
      </c>
      <c r="H37" s="28" t="str">
        <f t="shared" si="0"/>
        <v/>
      </c>
      <c r="I37" s="28" t="str">
        <f>IF($E37=0,"",AVERAGEIFS('Daily Capture'!$L$2:$L$201,'Daily Capture'!$A$2:$A$201,"&gt;="&amp;$C37,'Daily Capture'!$A$2:$A$201,"&lt;="&amp;$D37,'Daily Capture'!$B$2:$B$201,IF($A37="","*", $A37),'Daily Capture'!$C$2:$C$201,IF($B37="","*", $B37),'Daily Capture'!$L$2:$L$201,"&gt;0"))</f>
        <v/>
      </c>
      <c r="J37" s="27" t="str">
        <f>IF($E37=0,"",(COUNTIFS('Daily Capture'!$A$2:$A$201,"&gt;="&amp;$C37,'Daily Capture'!$A$2:$A$201,"&lt;="&amp;$D37,'Daily Capture'!$B$2:$B$201,IF($A37="","*", $A37),'Daily Capture'!$C$2:$C$201,IF($B37="","*", $B37),'Daily Capture'!$M$2:$M$201,"Some")+COUNTIFS('Daily Capture'!$A$2:$A$201,"&gt;="&amp;$C37,'Daily Capture'!$A$2:$A$201,"&lt;="&amp;$D37,'Daily Capture'!$B$2:$B$201,IF($A37="","*", $A37),'Daily Capture'!$C$2:$C$201,IF($B37="","*", $B37),'Daily Capture'!$M$2:$M$201,"A lot"))/$E37)</f>
        <v/>
      </c>
      <c r="K37" s="29" t="str">
        <f t="shared" si="1"/>
        <v/>
      </c>
      <c r="L37" s="29" t="str">
        <f t="shared" si="2"/>
        <v/>
      </c>
      <c r="M37" s="29" t="str">
        <f t="shared" si="3"/>
        <v/>
      </c>
      <c r="N37" s="29" t="str">
        <f t="shared" si="4"/>
        <v/>
      </c>
      <c r="O37" s="29" t="str">
        <f t="shared" si="5"/>
        <v/>
      </c>
      <c r="P37" s="7"/>
      <c r="Q37" s="7"/>
      <c r="R37" s="7"/>
      <c r="S37" s="7"/>
    </row>
    <row r="38" spans="1:19" ht="22.15" customHeight="1" x14ac:dyDescent="0.25">
      <c r="A38" s="6"/>
      <c r="B38" s="6"/>
      <c r="C38" s="26"/>
      <c r="D38" s="26"/>
      <c r="E38">
        <f>COUNTIFS('Daily Capture'!$A$2:$A$201,"&gt;="&amp;$C38,'Daily Capture'!$A$2:$A$201,"&lt;="&amp;$D38,'Daily Capture'!$B$2:$B$201,IF($A38="","*", $A38),'Daily Capture'!$C$2:$C$201,IF($B38="","*", $B38),'Daily Capture'!$E$2:$E$201,"&lt;&gt;")</f>
        <v>0</v>
      </c>
      <c r="F38" s="27" t="str">
        <f>IF($E38=0,"",COUNTIFS('Daily Capture'!$A$2:$A$201,"&gt;="&amp;$C38,'Daily Capture'!$A$2:$A$201,"&lt;="&amp;$D38,'Daily Capture'!$B$2:$B$201,IF($A38="","*", $A38),'Daily Capture'!$C$2:$C$201,IF($B38="","*", $B38),'Daily Capture'!$G$2:$G$201,"Yes")/$E38)</f>
        <v/>
      </c>
      <c r="G38" t="str">
        <f>IF($E38=0,"",SUMIFS('Daily Capture'!$J$2:$J$201,'Daily Capture'!$A$2:$A$201,"&gt;="&amp;$C38,'Daily Capture'!$A$2:$A$201,"&lt;="&amp;$D38,'Daily Capture'!$B$2:$B$201,IF($A38="","*", $A38),'Daily Capture'!$C$2:$C$201,IF($B38="","*", $B38)))</f>
        <v/>
      </c>
      <c r="H38" s="28" t="str">
        <f t="shared" si="0"/>
        <v/>
      </c>
      <c r="I38" s="28" t="str">
        <f>IF($E38=0,"",AVERAGEIFS('Daily Capture'!$L$2:$L$201,'Daily Capture'!$A$2:$A$201,"&gt;="&amp;$C38,'Daily Capture'!$A$2:$A$201,"&lt;="&amp;$D38,'Daily Capture'!$B$2:$B$201,IF($A38="","*", $A38),'Daily Capture'!$C$2:$C$201,IF($B38="","*", $B38),'Daily Capture'!$L$2:$L$201,"&gt;0"))</f>
        <v/>
      </c>
      <c r="J38" s="27" t="str">
        <f>IF($E38=0,"",(COUNTIFS('Daily Capture'!$A$2:$A$201,"&gt;="&amp;$C38,'Daily Capture'!$A$2:$A$201,"&lt;="&amp;$D38,'Daily Capture'!$B$2:$B$201,IF($A38="","*", $A38),'Daily Capture'!$C$2:$C$201,IF($B38="","*", $B38),'Daily Capture'!$M$2:$M$201,"Some")+COUNTIFS('Daily Capture'!$A$2:$A$201,"&gt;="&amp;$C38,'Daily Capture'!$A$2:$A$201,"&lt;="&amp;$D38,'Daily Capture'!$B$2:$B$201,IF($A38="","*", $A38),'Daily Capture'!$C$2:$C$201,IF($B38="","*", $B38),'Daily Capture'!$M$2:$M$201,"A lot"))/$E38)</f>
        <v/>
      </c>
      <c r="K38" s="29" t="str">
        <f t="shared" si="1"/>
        <v/>
      </c>
      <c r="L38" s="29" t="str">
        <f t="shared" si="2"/>
        <v/>
      </c>
      <c r="M38" s="29" t="str">
        <f t="shared" si="3"/>
        <v/>
      </c>
      <c r="N38" s="29" t="str">
        <f t="shared" si="4"/>
        <v/>
      </c>
      <c r="O38" s="29" t="str">
        <f t="shared" si="5"/>
        <v/>
      </c>
      <c r="P38" s="7"/>
      <c r="Q38" s="7"/>
      <c r="R38" s="7"/>
      <c r="S38" s="7"/>
    </row>
    <row r="39" spans="1:19" ht="22.15" customHeight="1" x14ac:dyDescent="0.25">
      <c r="A39" s="6"/>
      <c r="B39" s="6"/>
      <c r="C39" s="26"/>
      <c r="D39" s="26"/>
      <c r="E39">
        <f>COUNTIFS('Daily Capture'!$A$2:$A$201,"&gt;="&amp;$C39,'Daily Capture'!$A$2:$A$201,"&lt;="&amp;$D39,'Daily Capture'!$B$2:$B$201,IF($A39="","*", $A39),'Daily Capture'!$C$2:$C$201,IF($B39="","*", $B39),'Daily Capture'!$E$2:$E$201,"&lt;&gt;")</f>
        <v>0</v>
      </c>
      <c r="F39" s="27" t="str">
        <f>IF($E39=0,"",COUNTIFS('Daily Capture'!$A$2:$A$201,"&gt;="&amp;$C39,'Daily Capture'!$A$2:$A$201,"&lt;="&amp;$D39,'Daily Capture'!$B$2:$B$201,IF($A39="","*", $A39),'Daily Capture'!$C$2:$C$201,IF($B39="","*", $B39),'Daily Capture'!$G$2:$G$201,"Yes")/$E39)</f>
        <v/>
      </c>
      <c r="G39" t="str">
        <f>IF($E39=0,"",SUMIFS('Daily Capture'!$J$2:$J$201,'Daily Capture'!$A$2:$A$201,"&gt;="&amp;$C39,'Daily Capture'!$A$2:$A$201,"&lt;="&amp;$D39,'Daily Capture'!$B$2:$B$201,IF($A39="","*", $A39),'Daily Capture'!$C$2:$C$201,IF($B39="","*", $B39)))</f>
        <v/>
      </c>
      <c r="H39" s="28" t="str">
        <f t="shared" si="0"/>
        <v/>
      </c>
      <c r="I39" s="28" t="str">
        <f>IF($E39=0,"",AVERAGEIFS('Daily Capture'!$L$2:$L$201,'Daily Capture'!$A$2:$A$201,"&gt;="&amp;$C39,'Daily Capture'!$A$2:$A$201,"&lt;="&amp;$D39,'Daily Capture'!$B$2:$B$201,IF($A39="","*", $A39),'Daily Capture'!$C$2:$C$201,IF($B39="","*", $B39),'Daily Capture'!$L$2:$L$201,"&gt;0"))</f>
        <v/>
      </c>
      <c r="J39" s="27" t="str">
        <f>IF($E39=0,"",(COUNTIFS('Daily Capture'!$A$2:$A$201,"&gt;="&amp;$C39,'Daily Capture'!$A$2:$A$201,"&lt;="&amp;$D39,'Daily Capture'!$B$2:$B$201,IF($A39="","*", $A39),'Daily Capture'!$C$2:$C$201,IF($B39="","*", $B39),'Daily Capture'!$M$2:$M$201,"Some")+COUNTIFS('Daily Capture'!$A$2:$A$201,"&gt;="&amp;$C39,'Daily Capture'!$A$2:$A$201,"&lt;="&amp;$D39,'Daily Capture'!$B$2:$B$201,IF($A39="","*", $A39),'Daily Capture'!$C$2:$C$201,IF($B39="","*", $B39),'Daily Capture'!$M$2:$M$201,"A lot"))/$E39)</f>
        <v/>
      </c>
      <c r="K39" s="29" t="str">
        <f t="shared" si="1"/>
        <v/>
      </c>
      <c r="L39" s="29" t="str">
        <f t="shared" si="2"/>
        <v/>
      </c>
      <c r="M39" s="29" t="str">
        <f t="shared" si="3"/>
        <v/>
      </c>
      <c r="N39" s="29" t="str">
        <f t="shared" si="4"/>
        <v/>
      </c>
      <c r="O39" s="29" t="str">
        <f t="shared" si="5"/>
        <v/>
      </c>
      <c r="P39" s="7"/>
      <c r="Q39" s="7"/>
      <c r="R39" s="7"/>
      <c r="S39" s="7"/>
    </row>
    <row r="40" spans="1:19" ht="22.15" customHeight="1" x14ac:dyDescent="0.25">
      <c r="A40" s="6"/>
      <c r="B40" s="6"/>
      <c r="C40" s="26"/>
      <c r="D40" s="26"/>
      <c r="E40">
        <f>COUNTIFS('Daily Capture'!$A$2:$A$201,"&gt;="&amp;$C40,'Daily Capture'!$A$2:$A$201,"&lt;="&amp;$D40,'Daily Capture'!$B$2:$B$201,IF($A40="","*", $A40),'Daily Capture'!$C$2:$C$201,IF($B40="","*", $B40),'Daily Capture'!$E$2:$E$201,"&lt;&gt;")</f>
        <v>0</v>
      </c>
      <c r="F40" s="27" t="str">
        <f>IF($E40=0,"",COUNTIFS('Daily Capture'!$A$2:$A$201,"&gt;="&amp;$C40,'Daily Capture'!$A$2:$A$201,"&lt;="&amp;$D40,'Daily Capture'!$B$2:$B$201,IF($A40="","*", $A40),'Daily Capture'!$C$2:$C$201,IF($B40="","*", $B40),'Daily Capture'!$G$2:$G$201,"Yes")/$E40)</f>
        <v/>
      </c>
      <c r="G40" t="str">
        <f>IF($E40=0,"",SUMIFS('Daily Capture'!$J$2:$J$201,'Daily Capture'!$A$2:$A$201,"&gt;="&amp;$C40,'Daily Capture'!$A$2:$A$201,"&lt;="&amp;$D40,'Daily Capture'!$B$2:$B$201,IF($A40="","*", $A40),'Daily Capture'!$C$2:$C$201,IF($B40="","*", $B40)))</f>
        <v/>
      </c>
      <c r="H40" s="28" t="str">
        <f t="shared" si="0"/>
        <v/>
      </c>
      <c r="I40" s="28" t="str">
        <f>IF($E40=0,"",AVERAGEIFS('Daily Capture'!$L$2:$L$201,'Daily Capture'!$A$2:$A$201,"&gt;="&amp;$C40,'Daily Capture'!$A$2:$A$201,"&lt;="&amp;$D40,'Daily Capture'!$B$2:$B$201,IF($A40="","*", $A40),'Daily Capture'!$C$2:$C$201,IF($B40="","*", $B40),'Daily Capture'!$L$2:$L$201,"&gt;0"))</f>
        <v/>
      </c>
      <c r="J40" s="27" t="str">
        <f>IF($E40=0,"",(COUNTIFS('Daily Capture'!$A$2:$A$201,"&gt;="&amp;$C40,'Daily Capture'!$A$2:$A$201,"&lt;="&amp;$D40,'Daily Capture'!$B$2:$B$201,IF($A40="","*", $A40),'Daily Capture'!$C$2:$C$201,IF($B40="","*", $B40),'Daily Capture'!$M$2:$M$201,"Some")+COUNTIFS('Daily Capture'!$A$2:$A$201,"&gt;="&amp;$C40,'Daily Capture'!$A$2:$A$201,"&lt;="&amp;$D40,'Daily Capture'!$B$2:$B$201,IF($A40="","*", $A40),'Daily Capture'!$C$2:$C$201,IF($B40="","*", $B40),'Daily Capture'!$M$2:$M$201,"A lot"))/$E40)</f>
        <v/>
      </c>
      <c r="K40" s="29" t="str">
        <f t="shared" si="1"/>
        <v/>
      </c>
      <c r="L40" s="29" t="str">
        <f t="shared" si="2"/>
        <v/>
      </c>
      <c r="M40" s="29" t="str">
        <f t="shared" si="3"/>
        <v/>
      </c>
      <c r="N40" s="29" t="str">
        <f t="shared" si="4"/>
        <v/>
      </c>
      <c r="O40" s="29" t="str">
        <f t="shared" si="5"/>
        <v/>
      </c>
      <c r="P40" s="7"/>
      <c r="Q40" s="7"/>
      <c r="R40" s="7"/>
      <c r="S40" s="7"/>
    </row>
    <row r="41" spans="1:19" ht="22.15" customHeight="1" x14ac:dyDescent="0.25">
      <c r="A41" s="6"/>
      <c r="B41" s="6"/>
      <c r="C41" s="26"/>
      <c r="D41" s="26"/>
      <c r="E41">
        <f>COUNTIFS('Daily Capture'!$A$2:$A$201,"&gt;="&amp;$C41,'Daily Capture'!$A$2:$A$201,"&lt;="&amp;$D41,'Daily Capture'!$B$2:$B$201,IF($A41="","*", $A41),'Daily Capture'!$C$2:$C$201,IF($B41="","*", $B41),'Daily Capture'!$E$2:$E$201,"&lt;&gt;")</f>
        <v>0</v>
      </c>
      <c r="F41" s="27" t="str">
        <f>IF($E41=0,"",COUNTIFS('Daily Capture'!$A$2:$A$201,"&gt;="&amp;$C41,'Daily Capture'!$A$2:$A$201,"&lt;="&amp;$D41,'Daily Capture'!$B$2:$B$201,IF($A41="","*", $A41),'Daily Capture'!$C$2:$C$201,IF($B41="","*", $B41),'Daily Capture'!$G$2:$G$201,"Yes")/$E41)</f>
        <v/>
      </c>
      <c r="G41" t="str">
        <f>IF($E41=0,"",SUMIFS('Daily Capture'!$J$2:$J$201,'Daily Capture'!$A$2:$A$201,"&gt;="&amp;$C41,'Daily Capture'!$A$2:$A$201,"&lt;="&amp;$D41,'Daily Capture'!$B$2:$B$201,IF($A41="","*", $A41),'Daily Capture'!$C$2:$C$201,IF($B41="","*", $B41)))</f>
        <v/>
      </c>
      <c r="H41" s="28" t="str">
        <f t="shared" si="0"/>
        <v/>
      </c>
      <c r="I41" s="28" t="str">
        <f>IF($E41=0,"",AVERAGEIFS('Daily Capture'!$L$2:$L$201,'Daily Capture'!$A$2:$A$201,"&gt;="&amp;$C41,'Daily Capture'!$A$2:$A$201,"&lt;="&amp;$D41,'Daily Capture'!$B$2:$B$201,IF($A41="","*", $A41),'Daily Capture'!$C$2:$C$201,IF($B41="","*", $B41),'Daily Capture'!$L$2:$L$201,"&gt;0"))</f>
        <v/>
      </c>
      <c r="J41" s="27" t="str">
        <f>IF($E41=0,"",(COUNTIFS('Daily Capture'!$A$2:$A$201,"&gt;="&amp;$C41,'Daily Capture'!$A$2:$A$201,"&lt;="&amp;$D41,'Daily Capture'!$B$2:$B$201,IF($A41="","*", $A41),'Daily Capture'!$C$2:$C$201,IF($B41="","*", $B41),'Daily Capture'!$M$2:$M$201,"Some")+COUNTIFS('Daily Capture'!$A$2:$A$201,"&gt;="&amp;$C41,'Daily Capture'!$A$2:$A$201,"&lt;="&amp;$D41,'Daily Capture'!$B$2:$B$201,IF($A41="","*", $A41),'Daily Capture'!$C$2:$C$201,IF($B41="","*", $B41),'Daily Capture'!$M$2:$M$201,"A lot"))/$E41)</f>
        <v/>
      </c>
      <c r="K41" s="29" t="str">
        <f t="shared" si="1"/>
        <v/>
      </c>
      <c r="L41" s="29" t="str">
        <f t="shared" si="2"/>
        <v/>
      </c>
      <c r="M41" s="29" t="str">
        <f t="shared" si="3"/>
        <v/>
      </c>
      <c r="N41" s="29" t="str">
        <f t="shared" si="4"/>
        <v/>
      </c>
      <c r="O41" s="29" t="str">
        <f t="shared" si="5"/>
        <v/>
      </c>
      <c r="P41" s="7"/>
      <c r="Q41" s="7"/>
      <c r="R41" s="7"/>
      <c r="S41" s="7"/>
    </row>
    <row r="42" spans="1:19" ht="22.15" customHeight="1" x14ac:dyDescent="0.25">
      <c r="A42" s="6"/>
      <c r="B42" s="6"/>
      <c r="C42" s="26"/>
      <c r="D42" s="26"/>
      <c r="E42">
        <f>COUNTIFS('Daily Capture'!$A$2:$A$201,"&gt;="&amp;$C42,'Daily Capture'!$A$2:$A$201,"&lt;="&amp;$D42,'Daily Capture'!$B$2:$B$201,IF($A42="","*", $A42),'Daily Capture'!$C$2:$C$201,IF($B42="","*", $B42),'Daily Capture'!$E$2:$E$201,"&lt;&gt;")</f>
        <v>0</v>
      </c>
      <c r="F42" s="27" t="str">
        <f>IF($E42=0,"",COUNTIFS('Daily Capture'!$A$2:$A$201,"&gt;="&amp;$C42,'Daily Capture'!$A$2:$A$201,"&lt;="&amp;$D42,'Daily Capture'!$B$2:$B$201,IF($A42="","*", $A42),'Daily Capture'!$C$2:$C$201,IF($B42="","*", $B42),'Daily Capture'!$G$2:$G$201,"Yes")/$E42)</f>
        <v/>
      </c>
      <c r="G42" t="str">
        <f>IF($E42=0,"",SUMIFS('Daily Capture'!$J$2:$J$201,'Daily Capture'!$A$2:$A$201,"&gt;="&amp;$C42,'Daily Capture'!$A$2:$A$201,"&lt;="&amp;$D42,'Daily Capture'!$B$2:$B$201,IF($A42="","*", $A42),'Daily Capture'!$C$2:$C$201,IF($B42="","*", $B42)))</f>
        <v/>
      </c>
      <c r="H42" s="28" t="str">
        <f t="shared" si="0"/>
        <v/>
      </c>
      <c r="I42" s="28" t="str">
        <f>IF($E42=0,"",AVERAGEIFS('Daily Capture'!$L$2:$L$201,'Daily Capture'!$A$2:$A$201,"&gt;="&amp;$C42,'Daily Capture'!$A$2:$A$201,"&lt;="&amp;$D42,'Daily Capture'!$B$2:$B$201,IF($A42="","*", $A42),'Daily Capture'!$C$2:$C$201,IF($B42="","*", $B42),'Daily Capture'!$L$2:$L$201,"&gt;0"))</f>
        <v/>
      </c>
      <c r="J42" s="27" t="str">
        <f>IF($E42=0,"",(COUNTIFS('Daily Capture'!$A$2:$A$201,"&gt;="&amp;$C42,'Daily Capture'!$A$2:$A$201,"&lt;="&amp;$D42,'Daily Capture'!$B$2:$B$201,IF($A42="","*", $A42),'Daily Capture'!$C$2:$C$201,IF($B42="","*", $B42),'Daily Capture'!$M$2:$M$201,"Some")+COUNTIFS('Daily Capture'!$A$2:$A$201,"&gt;="&amp;$C42,'Daily Capture'!$A$2:$A$201,"&lt;="&amp;$D42,'Daily Capture'!$B$2:$B$201,IF($A42="","*", $A42),'Daily Capture'!$C$2:$C$201,IF($B42="","*", $B42),'Daily Capture'!$M$2:$M$201,"A lot"))/$E42)</f>
        <v/>
      </c>
      <c r="K42" s="29" t="str">
        <f t="shared" si="1"/>
        <v/>
      </c>
      <c r="L42" s="29" t="str">
        <f t="shared" si="2"/>
        <v/>
      </c>
      <c r="M42" s="29" t="str">
        <f t="shared" si="3"/>
        <v/>
      </c>
      <c r="N42" s="29" t="str">
        <f t="shared" si="4"/>
        <v/>
      </c>
      <c r="O42" s="29" t="str">
        <f t="shared" si="5"/>
        <v/>
      </c>
      <c r="P42" s="7"/>
      <c r="Q42" s="7"/>
      <c r="R42" s="7"/>
      <c r="S42" s="7"/>
    </row>
    <row r="43" spans="1:19" ht="22.15" customHeight="1" x14ac:dyDescent="0.25">
      <c r="A43" s="6"/>
      <c r="B43" s="6"/>
      <c r="C43" s="26"/>
      <c r="D43" s="26"/>
      <c r="E43">
        <f>COUNTIFS('Daily Capture'!$A$2:$A$201,"&gt;="&amp;$C43,'Daily Capture'!$A$2:$A$201,"&lt;="&amp;$D43,'Daily Capture'!$B$2:$B$201,IF($A43="","*", $A43),'Daily Capture'!$C$2:$C$201,IF($B43="","*", $B43),'Daily Capture'!$E$2:$E$201,"&lt;&gt;")</f>
        <v>0</v>
      </c>
      <c r="F43" s="27" t="str">
        <f>IF($E43=0,"",COUNTIFS('Daily Capture'!$A$2:$A$201,"&gt;="&amp;$C43,'Daily Capture'!$A$2:$A$201,"&lt;="&amp;$D43,'Daily Capture'!$B$2:$B$201,IF($A43="","*", $A43),'Daily Capture'!$C$2:$C$201,IF($B43="","*", $B43),'Daily Capture'!$G$2:$G$201,"Yes")/$E43)</f>
        <v/>
      </c>
      <c r="G43" t="str">
        <f>IF($E43=0,"",SUMIFS('Daily Capture'!$J$2:$J$201,'Daily Capture'!$A$2:$A$201,"&gt;="&amp;$C43,'Daily Capture'!$A$2:$A$201,"&lt;="&amp;$D43,'Daily Capture'!$B$2:$B$201,IF($A43="","*", $A43),'Daily Capture'!$C$2:$C$201,IF($B43="","*", $B43)))</f>
        <v/>
      </c>
      <c r="H43" s="28" t="str">
        <f t="shared" si="0"/>
        <v/>
      </c>
      <c r="I43" s="28" t="str">
        <f>IF($E43=0,"",AVERAGEIFS('Daily Capture'!$L$2:$L$201,'Daily Capture'!$A$2:$A$201,"&gt;="&amp;$C43,'Daily Capture'!$A$2:$A$201,"&lt;="&amp;$D43,'Daily Capture'!$B$2:$B$201,IF($A43="","*", $A43),'Daily Capture'!$C$2:$C$201,IF($B43="","*", $B43),'Daily Capture'!$L$2:$L$201,"&gt;0"))</f>
        <v/>
      </c>
      <c r="J43" s="27" t="str">
        <f>IF($E43=0,"",(COUNTIFS('Daily Capture'!$A$2:$A$201,"&gt;="&amp;$C43,'Daily Capture'!$A$2:$A$201,"&lt;="&amp;$D43,'Daily Capture'!$B$2:$B$201,IF($A43="","*", $A43),'Daily Capture'!$C$2:$C$201,IF($B43="","*", $B43),'Daily Capture'!$M$2:$M$201,"Some")+COUNTIFS('Daily Capture'!$A$2:$A$201,"&gt;="&amp;$C43,'Daily Capture'!$A$2:$A$201,"&lt;="&amp;$D43,'Daily Capture'!$B$2:$B$201,IF($A43="","*", $A43),'Daily Capture'!$C$2:$C$201,IF($B43="","*", $B43),'Daily Capture'!$M$2:$M$201,"A lot"))/$E43)</f>
        <v/>
      </c>
      <c r="K43" s="29" t="str">
        <f t="shared" si="1"/>
        <v/>
      </c>
      <c r="L43" s="29" t="str">
        <f t="shared" si="2"/>
        <v/>
      </c>
      <c r="M43" s="29" t="str">
        <f t="shared" si="3"/>
        <v/>
      </c>
      <c r="N43" s="29" t="str">
        <f t="shared" si="4"/>
        <v/>
      </c>
      <c r="O43" s="29" t="str">
        <f t="shared" si="5"/>
        <v/>
      </c>
      <c r="P43" s="7"/>
      <c r="Q43" s="7"/>
      <c r="R43" s="7"/>
      <c r="S43" s="7"/>
    </row>
    <row r="44" spans="1:19" ht="22.15" customHeight="1" x14ac:dyDescent="0.25">
      <c r="A44" s="6"/>
      <c r="B44" s="6"/>
      <c r="C44" s="26"/>
      <c r="D44" s="26"/>
      <c r="E44">
        <f>COUNTIFS('Daily Capture'!$A$2:$A$201,"&gt;="&amp;$C44,'Daily Capture'!$A$2:$A$201,"&lt;="&amp;$D44,'Daily Capture'!$B$2:$B$201,IF($A44="","*", $A44),'Daily Capture'!$C$2:$C$201,IF($B44="","*", $B44),'Daily Capture'!$E$2:$E$201,"&lt;&gt;")</f>
        <v>0</v>
      </c>
      <c r="F44" s="27" t="str">
        <f>IF($E44=0,"",COUNTIFS('Daily Capture'!$A$2:$A$201,"&gt;="&amp;$C44,'Daily Capture'!$A$2:$A$201,"&lt;="&amp;$D44,'Daily Capture'!$B$2:$B$201,IF($A44="","*", $A44),'Daily Capture'!$C$2:$C$201,IF($B44="","*", $B44),'Daily Capture'!$G$2:$G$201,"Yes")/$E44)</f>
        <v/>
      </c>
      <c r="G44" t="str">
        <f>IF($E44=0,"",SUMIFS('Daily Capture'!$J$2:$J$201,'Daily Capture'!$A$2:$A$201,"&gt;="&amp;$C44,'Daily Capture'!$A$2:$A$201,"&lt;="&amp;$D44,'Daily Capture'!$B$2:$B$201,IF($A44="","*", $A44),'Daily Capture'!$C$2:$C$201,IF($B44="","*", $B44)))</f>
        <v/>
      </c>
      <c r="H44" s="28" t="str">
        <f t="shared" si="0"/>
        <v/>
      </c>
      <c r="I44" s="28" t="str">
        <f>IF($E44=0,"",AVERAGEIFS('Daily Capture'!$L$2:$L$201,'Daily Capture'!$A$2:$A$201,"&gt;="&amp;$C44,'Daily Capture'!$A$2:$A$201,"&lt;="&amp;$D44,'Daily Capture'!$B$2:$B$201,IF($A44="","*", $A44),'Daily Capture'!$C$2:$C$201,IF($B44="","*", $B44),'Daily Capture'!$L$2:$L$201,"&gt;0"))</f>
        <v/>
      </c>
      <c r="J44" s="27" t="str">
        <f>IF($E44=0,"",(COUNTIFS('Daily Capture'!$A$2:$A$201,"&gt;="&amp;$C44,'Daily Capture'!$A$2:$A$201,"&lt;="&amp;$D44,'Daily Capture'!$B$2:$B$201,IF($A44="","*", $A44),'Daily Capture'!$C$2:$C$201,IF($B44="","*", $B44),'Daily Capture'!$M$2:$M$201,"Some")+COUNTIFS('Daily Capture'!$A$2:$A$201,"&gt;="&amp;$C44,'Daily Capture'!$A$2:$A$201,"&lt;="&amp;$D44,'Daily Capture'!$B$2:$B$201,IF($A44="","*", $A44),'Daily Capture'!$C$2:$C$201,IF($B44="","*", $B44),'Daily Capture'!$M$2:$M$201,"A lot"))/$E44)</f>
        <v/>
      </c>
      <c r="K44" s="29" t="str">
        <f t="shared" si="1"/>
        <v/>
      </c>
      <c r="L44" s="29" t="str">
        <f t="shared" si="2"/>
        <v/>
      </c>
      <c r="M44" s="29" t="str">
        <f t="shared" si="3"/>
        <v/>
      </c>
      <c r="N44" s="29" t="str">
        <f t="shared" si="4"/>
        <v/>
      </c>
      <c r="O44" s="29" t="str">
        <f t="shared" si="5"/>
        <v/>
      </c>
      <c r="P44" s="7"/>
      <c r="Q44" s="7"/>
      <c r="R44" s="7"/>
      <c r="S44" s="7"/>
    </row>
    <row r="45" spans="1:19" ht="22.15" customHeight="1" x14ac:dyDescent="0.25">
      <c r="A45" s="6"/>
      <c r="B45" s="6"/>
      <c r="C45" s="26"/>
      <c r="D45" s="26"/>
      <c r="E45">
        <f>COUNTIFS('Daily Capture'!$A$2:$A$201,"&gt;="&amp;$C45,'Daily Capture'!$A$2:$A$201,"&lt;="&amp;$D45,'Daily Capture'!$B$2:$B$201,IF($A45="","*", $A45),'Daily Capture'!$C$2:$C$201,IF($B45="","*", $B45),'Daily Capture'!$E$2:$E$201,"&lt;&gt;")</f>
        <v>0</v>
      </c>
      <c r="F45" s="27" t="str">
        <f>IF($E45=0,"",COUNTIFS('Daily Capture'!$A$2:$A$201,"&gt;="&amp;$C45,'Daily Capture'!$A$2:$A$201,"&lt;="&amp;$D45,'Daily Capture'!$B$2:$B$201,IF($A45="","*", $A45),'Daily Capture'!$C$2:$C$201,IF($B45="","*", $B45),'Daily Capture'!$G$2:$G$201,"Yes")/$E45)</f>
        <v/>
      </c>
      <c r="G45" t="str">
        <f>IF($E45=0,"",SUMIFS('Daily Capture'!$J$2:$J$201,'Daily Capture'!$A$2:$A$201,"&gt;="&amp;$C45,'Daily Capture'!$A$2:$A$201,"&lt;="&amp;$D45,'Daily Capture'!$B$2:$B$201,IF($A45="","*", $A45),'Daily Capture'!$C$2:$C$201,IF($B45="","*", $B45)))</f>
        <v/>
      </c>
      <c r="H45" s="28" t="str">
        <f t="shared" si="0"/>
        <v/>
      </c>
      <c r="I45" s="28" t="str">
        <f>IF($E45=0,"",AVERAGEIFS('Daily Capture'!$L$2:$L$201,'Daily Capture'!$A$2:$A$201,"&gt;="&amp;$C45,'Daily Capture'!$A$2:$A$201,"&lt;="&amp;$D45,'Daily Capture'!$B$2:$B$201,IF($A45="","*", $A45),'Daily Capture'!$C$2:$C$201,IF($B45="","*", $B45),'Daily Capture'!$L$2:$L$201,"&gt;0"))</f>
        <v/>
      </c>
      <c r="J45" s="27" t="str">
        <f>IF($E45=0,"",(COUNTIFS('Daily Capture'!$A$2:$A$201,"&gt;="&amp;$C45,'Daily Capture'!$A$2:$A$201,"&lt;="&amp;$D45,'Daily Capture'!$B$2:$B$201,IF($A45="","*", $A45),'Daily Capture'!$C$2:$C$201,IF($B45="","*", $B45),'Daily Capture'!$M$2:$M$201,"Some")+COUNTIFS('Daily Capture'!$A$2:$A$201,"&gt;="&amp;$C45,'Daily Capture'!$A$2:$A$201,"&lt;="&amp;$D45,'Daily Capture'!$B$2:$B$201,IF($A45="","*", $A45),'Daily Capture'!$C$2:$C$201,IF($B45="","*", $B45),'Daily Capture'!$M$2:$M$201,"A lot"))/$E45)</f>
        <v/>
      </c>
      <c r="K45" s="29" t="str">
        <f t="shared" si="1"/>
        <v/>
      </c>
      <c r="L45" s="29" t="str">
        <f t="shared" si="2"/>
        <v/>
      </c>
      <c r="M45" s="29" t="str">
        <f t="shared" si="3"/>
        <v/>
      </c>
      <c r="N45" s="29" t="str">
        <f t="shared" si="4"/>
        <v/>
      </c>
      <c r="O45" s="29" t="str">
        <f t="shared" si="5"/>
        <v/>
      </c>
      <c r="P45" s="7"/>
      <c r="Q45" s="7"/>
      <c r="R45" s="7"/>
      <c r="S45" s="7"/>
    </row>
  </sheetData>
  <mergeCells count="2">
    <mergeCell ref="A8:E8"/>
    <mergeCell ref="A3:E3"/>
  </mergeCells>
  <conditionalFormatting sqref="O16:O45">
    <cfRule type="cellIs" dxfId="1" priority="1" operator="greaterThanOrEqual">
      <formula>80</formula>
    </cfRule>
    <cfRule type="cellIs" dxfId="0" priority="2" operator="lessThan">
      <formula>50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8"/>
  <sheetViews>
    <sheetView showGridLines="0" workbookViewId="0">
      <selection sqref="A1:XFD1048576"/>
    </sheetView>
  </sheetViews>
  <sheetFormatPr defaultRowHeight="15" x14ac:dyDescent="0.25"/>
  <cols>
    <col min="1" max="1" width="33.5703125" bestFit="1" customWidth="1"/>
    <col min="2" max="2" width="7.42578125" bestFit="1" customWidth="1"/>
    <col min="3" max="3" width="8.140625" bestFit="1" customWidth="1"/>
    <col min="4" max="4" width="6.140625" bestFit="1" customWidth="1"/>
  </cols>
  <sheetData>
    <row r="1" spans="1:4" ht="25.9" customHeight="1" x14ac:dyDescent="0.3">
      <c r="A1" s="30" t="s">
        <v>89</v>
      </c>
    </row>
    <row r="3" spans="1:4" ht="15.75" x14ac:dyDescent="0.25">
      <c r="A3" s="10" t="s">
        <v>90</v>
      </c>
      <c r="B3" s="31" t="str">
        <f>IFERROR(AVERAGEIF(Scorecard!$O$16:$O$45,"&gt;0"),"")</f>
        <v/>
      </c>
    </row>
    <row r="4" spans="1:4" ht="15.75" x14ac:dyDescent="0.25">
      <c r="A4" s="10" t="s">
        <v>91</v>
      </c>
      <c r="B4" s="32" t="str">
        <f>IFERROR(AVERAGEIF(Scorecard!$F$16:$F$45,"&gt;0"),"")</f>
        <v/>
      </c>
    </row>
    <row r="5" spans="1:4" ht="15.75" x14ac:dyDescent="0.25">
      <c r="A5" s="10" t="s">
        <v>92</v>
      </c>
      <c r="B5" s="31">
        <f>IFERROR(SUMIF(Scorecard!$H$16:$H$45,"&gt;0",Scorecard!$H$16:$H$45),"")</f>
        <v>0</v>
      </c>
    </row>
    <row r="8" spans="1:4" ht="30" x14ac:dyDescent="0.25">
      <c r="A8" s="4" t="s">
        <v>93</v>
      </c>
      <c r="B8" s="4" t="s">
        <v>94</v>
      </c>
      <c r="C8" s="4" t="s">
        <v>76</v>
      </c>
      <c r="D8" s="4" t="s">
        <v>95</v>
      </c>
    </row>
    <row r="9" spans="1:4" x14ac:dyDescent="0.25">
      <c r="A9" s="3" t="str">
        <f>IF(Scorecard!$A$16="","",Scorecard!$A$16&amp;" - "&amp;Scorecard!$B$16)</f>
        <v/>
      </c>
      <c r="B9" s="33" t="str">
        <f>Scorecard!$O$16</f>
        <v/>
      </c>
      <c r="C9" s="34" t="str">
        <f>Scorecard!$F$16</f>
        <v/>
      </c>
      <c r="D9" s="35" t="str">
        <f>Scorecard!$H$16</f>
        <v/>
      </c>
    </row>
    <row r="10" spans="1:4" x14ac:dyDescent="0.25">
      <c r="A10" s="3" t="str">
        <f>IF(Scorecard!$A$17="","",Scorecard!$A$17&amp;" - "&amp;Scorecard!$B$17)</f>
        <v/>
      </c>
      <c r="B10" s="33" t="str">
        <f>Scorecard!$O$17</f>
        <v/>
      </c>
      <c r="C10" s="34" t="str">
        <f>Scorecard!$F$17</f>
        <v/>
      </c>
      <c r="D10" s="35" t="str">
        <f>Scorecard!$H$17</f>
        <v/>
      </c>
    </row>
    <row r="11" spans="1:4" x14ac:dyDescent="0.25">
      <c r="A11" s="3" t="str">
        <f>IF(Scorecard!$A$18="","",Scorecard!$A$18&amp;" - "&amp;Scorecard!$B$18)</f>
        <v/>
      </c>
      <c r="B11" s="33" t="str">
        <f>Scorecard!$O$18</f>
        <v/>
      </c>
      <c r="C11" s="34" t="str">
        <f>Scorecard!$F$18</f>
        <v/>
      </c>
      <c r="D11" s="35" t="str">
        <f>Scorecard!$H$18</f>
        <v/>
      </c>
    </row>
    <row r="12" spans="1:4" x14ac:dyDescent="0.25">
      <c r="A12" s="3" t="str">
        <f>IF(Scorecard!$A$19="","",Scorecard!$A$19&amp;" - "&amp;Scorecard!$B$19)</f>
        <v/>
      </c>
      <c r="B12" s="33" t="str">
        <f>Scorecard!$O$19</f>
        <v/>
      </c>
      <c r="C12" s="34" t="str">
        <f>Scorecard!$F$19</f>
        <v/>
      </c>
      <c r="D12" s="35" t="str">
        <f>Scorecard!$H$19</f>
        <v/>
      </c>
    </row>
    <row r="13" spans="1:4" x14ac:dyDescent="0.25">
      <c r="A13" s="3" t="str">
        <f>IF(Scorecard!$A$20="","",Scorecard!$A$20&amp;" - "&amp;Scorecard!$B$20)</f>
        <v/>
      </c>
      <c r="B13" s="33" t="str">
        <f>Scorecard!$O$20</f>
        <v/>
      </c>
      <c r="C13" s="34" t="str">
        <f>Scorecard!$F$20</f>
        <v/>
      </c>
      <c r="D13" s="35" t="str">
        <f>Scorecard!$H$20</f>
        <v/>
      </c>
    </row>
    <row r="14" spans="1:4" x14ac:dyDescent="0.25">
      <c r="A14" s="3" t="str">
        <f>IF(Scorecard!$A$21="","",Scorecard!$A$21&amp;" - "&amp;Scorecard!$B$21)</f>
        <v/>
      </c>
      <c r="B14" s="33" t="str">
        <f>Scorecard!$O$21</f>
        <v/>
      </c>
      <c r="C14" s="34" t="str">
        <f>Scorecard!$F$21</f>
        <v/>
      </c>
      <c r="D14" s="35" t="str">
        <f>Scorecard!$H$21</f>
        <v/>
      </c>
    </row>
    <row r="15" spans="1:4" x14ac:dyDescent="0.25">
      <c r="A15" s="3" t="str">
        <f>IF(Scorecard!$A$22="","",Scorecard!$A$22&amp;" - "&amp;Scorecard!$B$22)</f>
        <v/>
      </c>
      <c r="B15" s="33" t="str">
        <f>Scorecard!$O$22</f>
        <v/>
      </c>
      <c r="C15" s="34" t="str">
        <f>Scorecard!$F$22</f>
        <v/>
      </c>
      <c r="D15" s="35" t="str">
        <f>Scorecard!$H$22</f>
        <v/>
      </c>
    </row>
    <row r="16" spans="1:4" x14ac:dyDescent="0.25">
      <c r="A16" s="3" t="str">
        <f>IF(Scorecard!$A$23="","",Scorecard!$A$23&amp;" - "&amp;Scorecard!$B$23)</f>
        <v/>
      </c>
      <c r="B16" s="33" t="str">
        <f>Scorecard!$O$23</f>
        <v/>
      </c>
      <c r="C16" s="34" t="str">
        <f>Scorecard!$F$23</f>
        <v/>
      </c>
      <c r="D16" s="35" t="str">
        <f>Scorecard!$H$23</f>
        <v/>
      </c>
    </row>
    <row r="17" spans="1:4" x14ac:dyDescent="0.25">
      <c r="A17" s="3" t="str">
        <f>IF(Scorecard!$A$24="","",Scorecard!$A$24&amp;" - "&amp;Scorecard!$B$24)</f>
        <v/>
      </c>
      <c r="B17" s="33" t="str">
        <f>Scorecard!$O$24</f>
        <v/>
      </c>
      <c r="C17" s="34" t="str">
        <f>Scorecard!$F$24</f>
        <v/>
      </c>
      <c r="D17" s="35" t="str">
        <f>Scorecard!$H$24</f>
        <v/>
      </c>
    </row>
    <row r="18" spans="1:4" x14ac:dyDescent="0.25">
      <c r="A18" s="3" t="str">
        <f>IF(Scorecard!$A$25="","",Scorecard!$A$25&amp;" - "&amp;Scorecard!$B$25)</f>
        <v/>
      </c>
      <c r="B18" s="33" t="str">
        <f>Scorecard!$O$25</f>
        <v/>
      </c>
      <c r="C18" s="34" t="str">
        <f>Scorecard!$F$25</f>
        <v/>
      </c>
      <c r="D18" s="35" t="str">
        <f>Scorecard!$H$25</f>
        <v/>
      </c>
    </row>
    <row r="19" spans="1:4" x14ac:dyDescent="0.25">
      <c r="A19" s="3" t="str">
        <f>IF(Scorecard!$A$26="","",Scorecard!$A$26&amp;" - "&amp;Scorecard!$B$26)</f>
        <v/>
      </c>
      <c r="B19" s="33" t="str">
        <f>Scorecard!$O$26</f>
        <v/>
      </c>
      <c r="C19" s="34" t="str">
        <f>Scorecard!$F$26</f>
        <v/>
      </c>
      <c r="D19" s="35" t="str">
        <f>Scorecard!$H$26</f>
        <v/>
      </c>
    </row>
    <row r="20" spans="1:4" x14ac:dyDescent="0.25">
      <c r="A20" s="3" t="str">
        <f>IF(Scorecard!$A$27="","",Scorecard!$A$27&amp;" - "&amp;Scorecard!$B$27)</f>
        <v/>
      </c>
      <c r="B20" s="33" t="str">
        <f>Scorecard!$O$27</f>
        <v/>
      </c>
      <c r="C20" s="34" t="str">
        <f>Scorecard!$F$27</f>
        <v/>
      </c>
      <c r="D20" s="35" t="str">
        <f>Scorecard!$H$27</f>
        <v/>
      </c>
    </row>
    <row r="21" spans="1:4" x14ac:dyDescent="0.25">
      <c r="A21" s="3" t="str">
        <f>IF(Scorecard!$A$28="","",Scorecard!$A$28&amp;" - "&amp;Scorecard!$B$28)</f>
        <v/>
      </c>
      <c r="B21" s="33" t="str">
        <f>Scorecard!$O$28</f>
        <v/>
      </c>
      <c r="C21" s="34" t="str">
        <f>Scorecard!$F$28</f>
        <v/>
      </c>
      <c r="D21" s="35" t="str">
        <f>Scorecard!$H$28</f>
        <v/>
      </c>
    </row>
    <row r="22" spans="1:4" x14ac:dyDescent="0.25">
      <c r="A22" s="3" t="str">
        <f>IF(Scorecard!$A$29="","",Scorecard!$A$29&amp;" - "&amp;Scorecard!$B$29)</f>
        <v/>
      </c>
      <c r="B22" s="33" t="str">
        <f>Scorecard!$O$29</f>
        <v/>
      </c>
      <c r="C22" s="34" t="str">
        <f>Scorecard!$F$29</f>
        <v/>
      </c>
      <c r="D22" s="35" t="str">
        <f>Scorecard!$H$29</f>
        <v/>
      </c>
    </row>
    <row r="23" spans="1:4" x14ac:dyDescent="0.25">
      <c r="A23" s="3" t="str">
        <f>IF(Scorecard!$A$30="","",Scorecard!$A$30&amp;" - "&amp;Scorecard!$B$30)</f>
        <v/>
      </c>
      <c r="B23" s="33" t="str">
        <f>Scorecard!$O$30</f>
        <v/>
      </c>
      <c r="C23" s="34" t="str">
        <f>Scorecard!$F$30</f>
        <v/>
      </c>
      <c r="D23" s="35" t="str">
        <f>Scorecard!$H$30</f>
        <v/>
      </c>
    </row>
    <row r="24" spans="1:4" x14ac:dyDescent="0.25">
      <c r="A24" s="3" t="str">
        <f>IF(Scorecard!$A$31="","",Scorecard!$A$31&amp;" - "&amp;Scorecard!$B$31)</f>
        <v/>
      </c>
      <c r="B24" s="33" t="str">
        <f>Scorecard!$O$31</f>
        <v/>
      </c>
      <c r="C24" s="34" t="str">
        <f>Scorecard!$F$31</f>
        <v/>
      </c>
      <c r="D24" s="35" t="str">
        <f>Scorecard!$H$31</f>
        <v/>
      </c>
    </row>
    <row r="25" spans="1:4" x14ac:dyDescent="0.25">
      <c r="A25" s="3" t="str">
        <f>IF(Scorecard!$A$32="","",Scorecard!$A$32&amp;" - "&amp;Scorecard!$B$32)</f>
        <v/>
      </c>
      <c r="B25" s="33" t="str">
        <f>Scorecard!$O$32</f>
        <v/>
      </c>
      <c r="C25" s="34" t="str">
        <f>Scorecard!$F$32</f>
        <v/>
      </c>
      <c r="D25" s="35" t="str">
        <f>Scorecard!$H$32</f>
        <v/>
      </c>
    </row>
    <row r="26" spans="1:4" x14ac:dyDescent="0.25">
      <c r="A26" s="3" t="str">
        <f>IF(Scorecard!$A$33="","",Scorecard!$A$33&amp;" - "&amp;Scorecard!$B$33)</f>
        <v/>
      </c>
      <c r="B26" s="33" t="str">
        <f>Scorecard!$O$33</f>
        <v/>
      </c>
      <c r="C26" s="34" t="str">
        <f>Scorecard!$F$33</f>
        <v/>
      </c>
      <c r="D26" s="35" t="str">
        <f>Scorecard!$H$33</f>
        <v/>
      </c>
    </row>
    <row r="27" spans="1:4" x14ac:dyDescent="0.25">
      <c r="A27" s="3" t="str">
        <f>IF(Scorecard!$A$34="","",Scorecard!$A$34&amp;" - "&amp;Scorecard!$B$34)</f>
        <v/>
      </c>
      <c r="B27" s="33" t="str">
        <f>Scorecard!$O$34</f>
        <v/>
      </c>
      <c r="C27" s="34" t="str">
        <f>Scorecard!$F$34</f>
        <v/>
      </c>
      <c r="D27" s="35" t="str">
        <f>Scorecard!$H$34</f>
        <v/>
      </c>
    </row>
    <row r="28" spans="1:4" x14ac:dyDescent="0.25">
      <c r="A28" s="3" t="str">
        <f>IF(Scorecard!$A$35="","",Scorecard!$A$35&amp;" - "&amp;Scorecard!$B$35)</f>
        <v/>
      </c>
      <c r="B28" s="33" t="str">
        <f>Scorecard!$O$35</f>
        <v/>
      </c>
      <c r="C28" s="34" t="str">
        <f>Scorecard!$F$35</f>
        <v/>
      </c>
      <c r="D28" s="35" t="str">
        <f>Scorecard!$H$35</f>
        <v/>
      </c>
    </row>
    <row r="29" spans="1:4" x14ac:dyDescent="0.25">
      <c r="A29" s="3" t="str">
        <f>IF(Scorecard!$A$36="","",Scorecard!$A$36&amp;" - "&amp;Scorecard!$B$36)</f>
        <v/>
      </c>
      <c r="B29" s="33" t="str">
        <f>Scorecard!$O$36</f>
        <v/>
      </c>
      <c r="C29" s="34" t="str">
        <f>Scorecard!$F$36</f>
        <v/>
      </c>
      <c r="D29" s="35" t="str">
        <f>Scorecard!$H$36</f>
        <v/>
      </c>
    </row>
    <row r="30" spans="1:4" x14ac:dyDescent="0.25">
      <c r="A30" s="3" t="str">
        <f>IF(Scorecard!$A$37="","",Scorecard!$A$37&amp;" - "&amp;Scorecard!$B$37)</f>
        <v/>
      </c>
      <c r="B30" s="33" t="str">
        <f>Scorecard!$O$37</f>
        <v/>
      </c>
      <c r="C30" s="34" t="str">
        <f>Scorecard!$F$37</f>
        <v/>
      </c>
      <c r="D30" s="35" t="str">
        <f>Scorecard!$H$37</f>
        <v/>
      </c>
    </row>
    <row r="31" spans="1:4" x14ac:dyDescent="0.25">
      <c r="A31" s="3" t="str">
        <f>IF(Scorecard!$A$38="","",Scorecard!$A$38&amp;" - "&amp;Scorecard!$B$38)</f>
        <v/>
      </c>
      <c r="B31" s="33" t="str">
        <f>Scorecard!$O$38</f>
        <v/>
      </c>
      <c r="C31" s="34" t="str">
        <f>Scorecard!$F$38</f>
        <v/>
      </c>
      <c r="D31" s="35" t="str">
        <f>Scorecard!$H$38</f>
        <v/>
      </c>
    </row>
    <row r="32" spans="1:4" x14ac:dyDescent="0.25">
      <c r="A32" s="3" t="str">
        <f>IF(Scorecard!$A$39="","",Scorecard!$A$39&amp;" - "&amp;Scorecard!$B$39)</f>
        <v/>
      </c>
      <c r="B32" s="33" t="str">
        <f>Scorecard!$O$39</f>
        <v/>
      </c>
      <c r="C32" s="34" t="str">
        <f>Scorecard!$F$39</f>
        <v/>
      </c>
      <c r="D32" s="35" t="str">
        <f>Scorecard!$H$39</f>
        <v/>
      </c>
    </row>
    <row r="33" spans="1:4" x14ac:dyDescent="0.25">
      <c r="A33" s="3" t="str">
        <f>IF(Scorecard!$A$40="","",Scorecard!$A$40&amp;" - "&amp;Scorecard!$B$40)</f>
        <v/>
      </c>
      <c r="B33" s="33" t="str">
        <f>Scorecard!$O$40</f>
        <v/>
      </c>
      <c r="C33" s="34" t="str">
        <f>Scorecard!$F$40</f>
        <v/>
      </c>
      <c r="D33" s="35" t="str">
        <f>Scorecard!$H$40</f>
        <v/>
      </c>
    </row>
    <row r="34" spans="1:4" x14ac:dyDescent="0.25">
      <c r="A34" s="3" t="str">
        <f>IF(Scorecard!$A$41="","",Scorecard!$A$41&amp;" - "&amp;Scorecard!$B$41)</f>
        <v/>
      </c>
      <c r="B34" s="33" t="str">
        <f>Scorecard!$O$41</f>
        <v/>
      </c>
      <c r="C34" s="34" t="str">
        <f>Scorecard!$F$41</f>
        <v/>
      </c>
      <c r="D34" s="35" t="str">
        <f>Scorecard!$H$41</f>
        <v/>
      </c>
    </row>
    <row r="35" spans="1:4" x14ac:dyDescent="0.25">
      <c r="A35" s="3" t="str">
        <f>IF(Scorecard!$A$42="","",Scorecard!$A$42&amp;" - "&amp;Scorecard!$B$42)</f>
        <v/>
      </c>
      <c r="B35" s="33" t="str">
        <f>Scorecard!$O$42</f>
        <v/>
      </c>
      <c r="C35" s="34" t="str">
        <f>Scorecard!$F$42</f>
        <v/>
      </c>
      <c r="D35" s="35" t="str">
        <f>Scorecard!$H$42</f>
        <v/>
      </c>
    </row>
    <row r="36" spans="1:4" x14ac:dyDescent="0.25">
      <c r="A36" s="3" t="str">
        <f>IF(Scorecard!$A$43="","",Scorecard!$A$43&amp;" - "&amp;Scorecard!$B$43)</f>
        <v/>
      </c>
      <c r="B36" s="33" t="str">
        <f>Scorecard!$O$43</f>
        <v/>
      </c>
      <c r="C36" s="34" t="str">
        <f>Scorecard!$F$43</f>
        <v/>
      </c>
      <c r="D36" s="35" t="str">
        <f>Scorecard!$H$43</f>
        <v/>
      </c>
    </row>
    <row r="37" spans="1:4" x14ac:dyDescent="0.25">
      <c r="A37" s="3" t="str">
        <f>IF(Scorecard!$A$44="","",Scorecard!$A$44&amp;" - "&amp;Scorecard!$B$44)</f>
        <v/>
      </c>
      <c r="B37" s="33" t="str">
        <f>Scorecard!$O$44</f>
        <v/>
      </c>
      <c r="C37" s="34" t="str">
        <f>Scorecard!$F$44</f>
        <v/>
      </c>
      <c r="D37" s="35" t="str">
        <f>Scorecard!$H$44</f>
        <v/>
      </c>
    </row>
    <row r="38" spans="1:4" x14ac:dyDescent="0.25">
      <c r="A38" s="3" t="str">
        <f>IF(Scorecard!$A$45="","",Scorecard!$A$45&amp;" - "&amp;Scorecard!$B$45)</f>
        <v/>
      </c>
      <c r="B38" s="33" t="str">
        <f>Scorecard!$O$45</f>
        <v/>
      </c>
      <c r="C38" s="34" t="str">
        <f>Scorecard!$F$45</f>
        <v/>
      </c>
      <c r="D38" s="35" t="str">
        <f>Scorecard!$H$45</f>
        <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3"/>
  <sheetViews>
    <sheetView showGridLines="0" workbookViewId="0">
      <selection activeCell="D24" sqref="D24"/>
    </sheetView>
  </sheetViews>
  <sheetFormatPr defaultRowHeight="15" x14ac:dyDescent="0.25"/>
  <cols>
    <col min="1" max="1" width="19.140625" bestFit="1" customWidth="1"/>
    <col min="2" max="2" width="7.85546875" bestFit="1" customWidth="1"/>
    <col min="3" max="3" width="28.42578125" bestFit="1" customWidth="1"/>
    <col min="4" max="4" width="27.140625" bestFit="1" customWidth="1"/>
    <col min="5" max="5" width="24.7109375" bestFit="1" customWidth="1"/>
    <col min="6" max="6" width="32.28515625" bestFit="1" customWidth="1"/>
    <col min="7" max="7" width="46.85546875" bestFit="1" customWidth="1"/>
    <col min="8" max="8" width="29.42578125" bestFit="1" customWidth="1"/>
    <col min="9" max="9" width="34.140625" bestFit="1" customWidth="1"/>
    <col min="10" max="10" width="26.140625" bestFit="1" customWidth="1"/>
    <col min="11" max="11" width="34.42578125" bestFit="1" customWidth="1"/>
    <col min="12" max="12" width="6.140625" bestFit="1" customWidth="1"/>
    <col min="13" max="14" width="22" customWidth="1"/>
  </cols>
  <sheetData>
    <row r="1" spans="1:12" ht="75" x14ac:dyDescent="0.25">
      <c r="A1" s="9" t="s">
        <v>96</v>
      </c>
    </row>
    <row r="3" spans="1:12" x14ac:dyDescent="0.25">
      <c r="A3" s="21" t="s">
        <v>97</v>
      </c>
      <c r="B3" t="s">
        <v>98</v>
      </c>
      <c r="C3" t="s">
        <v>99</v>
      </c>
    </row>
    <row r="5" spans="1:12" x14ac:dyDescent="0.25">
      <c r="A5" s="21" t="s">
        <v>100</v>
      </c>
      <c r="B5" t="s">
        <v>101</v>
      </c>
      <c r="C5" t="s">
        <v>102</v>
      </c>
      <c r="D5" t="s">
        <v>103</v>
      </c>
    </row>
    <row r="7" spans="1:12" x14ac:dyDescent="0.25">
      <c r="A7" s="21" t="s">
        <v>104</v>
      </c>
      <c r="B7" s="42">
        <v>1</v>
      </c>
      <c r="C7" s="42">
        <v>2</v>
      </c>
      <c r="D7" s="42">
        <v>3</v>
      </c>
      <c r="E7" s="42">
        <v>4</v>
      </c>
      <c r="F7" s="42">
        <v>5</v>
      </c>
    </row>
    <row r="9" spans="1:12" x14ac:dyDescent="0.25">
      <c r="A9" s="21" t="s">
        <v>105</v>
      </c>
      <c r="B9" t="s">
        <v>50</v>
      </c>
      <c r="C9" t="s">
        <v>106</v>
      </c>
      <c r="D9" t="s">
        <v>107</v>
      </c>
    </row>
    <row r="11" spans="1:12" x14ac:dyDescent="0.25">
      <c r="A11" s="21" t="s">
        <v>108</v>
      </c>
      <c r="B11" t="s">
        <v>50</v>
      </c>
      <c r="C11" t="s">
        <v>51</v>
      </c>
      <c r="D11" t="s">
        <v>52</v>
      </c>
      <c r="E11" t="s">
        <v>53</v>
      </c>
      <c r="F11" t="s">
        <v>54</v>
      </c>
      <c r="G11" t="s">
        <v>55</v>
      </c>
      <c r="H11" t="s">
        <v>56</v>
      </c>
      <c r="I11" t="s">
        <v>57</v>
      </c>
      <c r="J11" t="s">
        <v>58</v>
      </c>
      <c r="K11" t="s">
        <v>59</v>
      </c>
      <c r="L11" t="s">
        <v>60</v>
      </c>
    </row>
    <row r="13" spans="1:12" x14ac:dyDescent="0.25">
      <c r="A13" s="21" t="s">
        <v>109</v>
      </c>
      <c r="B13" t="s">
        <v>110</v>
      </c>
      <c r="C13" t="s">
        <v>111</v>
      </c>
      <c r="D13" t="s">
        <v>112</v>
      </c>
      <c r="E13" t="s">
        <v>113</v>
      </c>
      <c r="F13" t="s">
        <v>114</v>
      </c>
      <c r="G13" t="s">
        <v>115</v>
      </c>
      <c r="H13" t="s">
        <v>116</v>
      </c>
      <c r="I13" t="s">
        <v>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FD15C1ED361845AB6FC1680F5C2E04" ma:contentTypeVersion="10" ma:contentTypeDescription="Create a new document." ma:contentTypeScope="" ma:versionID="904dc5a908e319ed78406d251abc71fd">
  <xsd:schema xmlns:xsd="http://www.w3.org/2001/XMLSchema" xmlns:xs="http://www.w3.org/2001/XMLSchema" xmlns:p="http://schemas.microsoft.com/office/2006/metadata/properties" xmlns:ns2="3e4bc015-1695-4817-b784-4fdef86ad401" targetNamespace="http://schemas.microsoft.com/office/2006/metadata/properties" ma:root="true" ma:fieldsID="7fef66abd9ece2ac0c9061c6717a8e3d" ns2:_="">
    <xsd:import namespace="3e4bc015-1695-4817-b784-4fdef86ad40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4bc015-1695-4817-b784-4fdef86ad4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2" nillable="true" ma:displayName="Image Tags_0" ma:hidden="true" ma:internalName="lcf76f155ced4ddcb4097134ff3c332f">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e4bc015-1695-4817-b784-4fdef86ad401" xsi:nil="true"/>
  </documentManagement>
</p:properties>
</file>

<file path=customXml/itemProps1.xml><?xml version="1.0" encoding="utf-8"?>
<ds:datastoreItem xmlns:ds="http://schemas.openxmlformats.org/officeDocument/2006/customXml" ds:itemID="{9C5CD233-5B72-4F42-B23C-604FACAD3E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4bc015-1695-4817-b784-4fdef86ad4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C3BA748-FD44-422F-85CB-32E4B617A2AB}">
  <ds:schemaRefs>
    <ds:schemaRef ds:uri="http://schemas.microsoft.com/sharepoint/v3/contenttype/forms"/>
  </ds:schemaRefs>
</ds:datastoreItem>
</file>

<file path=customXml/itemProps3.xml><?xml version="1.0" encoding="utf-8"?>
<ds:datastoreItem xmlns:ds="http://schemas.openxmlformats.org/officeDocument/2006/customXml" ds:itemID="{46A052A9-20DB-493D-8BBE-1428CD8B950F}">
  <ds:schemaRefs>
    <ds:schemaRef ds:uri="http://schemas.microsoft.com/office/2006/metadata/properties"/>
    <ds:schemaRef ds:uri="http://schemas.microsoft.com/office/infopath/2007/PartnerControls"/>
    <ds:schemaRef ds:uri="3e4bc015-1695-4817-b784-4fdef86ad401"/>
  </ds:schemaRefs>
</ds:datastoreItem>
</file>

<file path=docMetadata/LabelInfo.xml><?xml version="1.0" encoding="utf-8"?>
<clbl:labelList xmlns:clbl="http://schemas.microsoft.com/office/2020/mipLabelMetadata">
  <clbl:label id="{5fae8262-b78e-4366-8929-a5d6aac95320}" enabled="1" method="Standard" siteId="{cf36141c-ddd7-45a7-b073-111f66d0b30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README</vt:lpstr>
      <vt:lpstr>Daily Capture</vt:lpstr>
      <vt:lpstr>Sprint Summary</vt:lpstr>
      <vt:lpstr>Scorecard</vt:lpstr>
      <vt:lpstr>Dashboard</vt:lpstr>
      <vt:lpstr>Lists</vt:lpstr>
      <vt:lpstr>Confidence</vt:lpstr>
      <vt:lpstr>Helpfulness1to5</vt:lpstr>
      <vt:lpstr>PainPoints</vt:lpstr>
      <vt:lpstr>Rework</vt:lpstr>
      <vt:lpstr>UseType</vt:lpstr>
      <vt:lpstr>YesNo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Marcel Lupo</cp:lastModifiedBy>
  <cp:revision/>
  <dcterms:created xsi:type="dcterms:W3CDTF">2026-01-23T12:56:20Z</dcterms:created>
  <dcterms:modified xsi:type="dcterms:W3CDTF">2026-01-26T23:43:00Z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0x010100C7FD15C1ED361845AB6FC1680F5C2E04</vt:lpwstr>
  </property>
</Properties>
</file>